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sana\Downloads\"/>
    </mc:Choice>
  </mc:AlternateContent>
  <xr:revisionPtr revIDLastSave="0" documentId="13_ncr:1_{33162CC1-CE2D-4379-A672-F6178C2A4C22}" xr6:coauthVersionLast="47" xr6:coauthVersionMax="47" xr10:uidLastSave="{00000000-0000-0000-0000-000000000000}"/>
  <bookViews>
    <workbookView xWindow="-103" yWindow="-103" windowWidth="20777" windowHeight="13200" activeTab="1" xr2:uid="{00000000-000D-0000-FFFF-FFFF00000000}"/>
  </bookViews>
  <sheets>
    <sheet name="Dashboard" sheetId="1" r:id="rId1"/>
    <sheet name="Products" sheetId="3" r:id="rId2"/>
    <sheet name="Price_History" sheetId="4" r:id="rId3"/>
    <sheet name="Receipts" sheetId="5" r:id="rId4"/>
    <sheet name="Product_Aliases" sheetId="6" r:id="rId5"/>
    <sheet name="Review" sheetId="7" r:id="rId6"/>
  </sheets>
  <definedNames>
    <definedName name="TasasCamb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4" l="1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L5" i="4"/>
  <c r="M5" i="4" s="1"/>
  <c r="L4" i="4"/>
  <c r="M4" i="4" s="1"/>
  <c r="L3" i="4"/>
  <c r="M3" i="4" s="1"/>
  <c r="L2" i="4"/>
  <c r="M2" i="4" s="1"/>
  <c r="B8" i="1"/>
  <c r="B7" i="1"/>
  <c r="B6" i="1"/>
  <c r="B5" i="1"/>
</calcChain>
</file>

<file path=xl/sharedStrings.xml><?xml version="1.0" encoding="utf-8"?>
<sst xmlns="http://schemas.openxmlformats.org/spreadsheetml/2006/main" count="358" uniqueCount="155">
  <si>
    <t>Price Comparison — Dashboard</t>
  </si>
  <si>
    <t>Metric</t>
  </si>
  <si>
    <t>Value</t>
  </si>
  <si>
    <t>How to use this file</t>
  </si>
  <si>
    <t>Products in catalogue</t>
  </si>
  <si>
    <t>1. Products</t>
  </si>
  <si>
    <t>Master catalogue. One product = one ID.</t>
  </si>
  <si>
    <t>Price observations</t>
  </si>
  <si>
    <t>2. Price History</t>
  </si>
  <si>
    <t>Each purchase/observation adds a new row.</t>
  </si>
  <si>
    <t>Receipts imported</t>
  </si>
  <si>
    <t>3. Aliases</t>
  </si>
  <si>
    <t>Maps retailer receipt names to the correct product ID.</t>
  </si>
  <si>
    <t>Pending reviews</t>
  </si>
  <si>
    <t>4. Review</t>
  </si>
  <si>
    <t>Uncertain data stays here until it is approved.</t>
  </si>
  <si>
    <t>Store</t>
  </si>
  <si>
    <t>Agent rules</t>
  </si>
  <si>
    <t>• Never overwrite historical prices.</t>
  </si>
  <si>
    <t>• Never invent unreadable data; send it to Review.</t>
  </si>
  <si>
    <t>• Only compare values using the same unit: €/kg, €/L, or €/unit.</t>
  </si>
  <si>
    <t>Product ID</t>
  </si>
  <si>
    <t>Normalized Product</t>
  </si>
  <si>
    <t>Category</t>
  </si>
  <si>
    <t>Subcategory</t>
  </si>
  <si>
    <t>Default Brand</t>
  </si>
  <si>
    <t>Comparison Unit</t>
  </si>
  <si>
    <t>Active</t>
  </si>
  <si>
    <t>Notes</t>
  </si>
  <si>
    <t>Record ID</t>
  </si>
  <si>
    <t>Receipt ID</t>
  </si>
  <si>
    <t>Date</t>
  </si>
  <si>
    <t>Receipt/Original Product</t>
  </si>
  <si>
    <t>Original Quantity</t>
  </si>
  <si>
    <t>Comparable Quantity</t>
  </si>
  <si>
    <t>Comparable Unit</t>
  </si>
  <si>
    <t>Gross Price (€)</t>
  </si>
  <si>
    <t>Discount (€)</t>
  </si>
  <si>
    <t>Price Paid (€)</t>
  </si>
  <si>
    <t>Comparable Price</t>
  </si>
  <si>
    <t>Gross Total (€)</t>
  </si>
  <si>
    <t>Discounts (€)</t>
  </si>
  <si>
    <t>Total Paid (€)</t>
  </si>
  <si>
    <t>Line Count</t>
  </si>
  <si>
    <t>Payment Method</t>
  </si>
  <si>
    <t>Receipt Text / Alias</t>
  </si>
  <si>
    <t>Status</t>
  </si>
  <si>
    <t>Review ID</t>
  </si>
  <si>
    <t>Original Text</t>
  </si>
  <si>
    <t>Issue Type</t>
  </si>
  <si>
    <t>AI Suggestion</t>
  </si>
  <si>
    <t>Confidence</t>
  </si>
  <si>
    <t>Correction</t>
  </si>
  <si>
    <t>P0001</t>
  </si>
  <si>
    <t>Almond drink</t>
  </si>
  <si>
    <t>Food</t>
  </si>
  <si>
    <t>Beverages</t>
  </si>
  <si>
    <t>Northfield</t>
  </si>
  <si>
    <t>L</t>
  </si>
  <si>
    <t>Yes</t>
  </si>
  <si>
    <t>Synthetic test data</t>
  </si>
  <si>
    <t>P0002</t>
  </si>
  <si>
    <t>Strawberries</t>
  </si>
  <si>
    <t>Fruit</t>
  </si>
  <si>
    <t>kg</t>
  </si>
  <si>
    <t>P0003</t>
  </si>
  <si>
    <t>Honey oat granola</t>
  </si>
  <si>
    <t>Cereals</t>
  </si>
  <si>
    <t>Morning Peak</t>
  </si>
  <si>
    <t>P0004</t>
  </si>
  <si>
    <t>Dark chocolate cereal</t>
  </si>
  <si>
    <t>Sunny Bowl</t>
  </si>
  <si>
    <t>P0005</t>
  </si>
  <si>
    <t>Plain low-fat yogurt</t>
  </si>
  <si>
    <t>Chilled</t>
  </si>
  <si>
    <t>Green Meadow</t>
  </si>
  <si>
    <t>P0006</t>
  </si>
  <si>
    <t>Pears</t>
  </si>
  <si>
    <t>P0007</t>
  </si>
  <si>
    <t>Carrots</t>
  </si>
  <si>
    <t>Vegetables</t>
  </si>
  <si>
    <t>P0008</t>
  </si>
  <si>
    <t>Wholegrain pasta</t>
  </si>
  <si>
    <t>Pantry</t>
  </si>
  <si>
    <t>Casa Demo</t>
  </si>
  <si>
    <t>P0009</t>
  </si>
  <si>
    <t>Red Garden</t>
  </si>
  <si>
    <t>P0010</t>
  </si>
  <si>
    <t>Dishwashing liquid</t>
  </si>
  <si>
    <t>Household</t>
  </si>
  <si>
    <t>Cleaning</t>
  </si>
  <si>
    <t>BrightDrop</t>
  </si>
  <si>
    <t>R00001</t>
  </si>
  <si>
    <t>T0001</t>
  </si>
  <si>
    <t>DemoMart</t>
  </si>
  <si>
    <t>ALMOND DRINK 1L</t>
  </si>
  <si>
    <t>1L</t>
  </si>
  <si>
    <t>Synthetic test observation</t>
  </si>
  <si>
    <t>R00002</t>
  </si>
  <si>
    <t>STRAWBERRIES 400G</t>
  </si>
  <si>
    <t>400g</t>
  </si>
  <si>
    <t>R00003</t>
  </si>
  <si>
    <t>HONEY OAT GRANOLA 750G</t>
  </si>
  <si>
    <t>750g</t>
  </si>
  <si>
    <t>R00004</t>
  </si>
  <si>
    <t>PEARS 1KG</t>
  </si>
  <si>
    <t>1kg</t>
  </si>
  <si>
    <t>R00005</t>
  </si>
  <si>
    <t>DISH LIQUID 500ML</t>
  </si>
  <si>
    <t>500ml</t>
  </si>
  <si>
    <t>R00006</t>
  </si>
  <si>
    <t>T0002</t>
  </si>
  <si>
    <t>SampleGrocer</t>
  </si>
  <si>
    <t>CHOCO CEREAL 600G</t>
  </si>
  <si>
    <t>600g</t>
  </si>
  <si>
    <t>R00007</t>
  </si>
  <si>
    <t>LOW FAT YOGURT 1KG</t>
  </si>
  <si>
    <t>R00008</t>
  </si>
  <si>
    <t>CARROTS 1KG</t>
  </si>
  <si>
    <t>R00009</t>
  </si>
  <si>
    <t>WHOLEGRAIN PASTA 500G</t>
  </si>
  <si>
    <t>500g</t>
  </si>
  <si>
    <t>R00010</t>
  </si>
  <si>
    <t>T0003</t>
  </si>
  <si>
    <t>TestMarket</t>
  </si>
  <si>
    <t>NORTHFIELD ALMOND 1L</t>
  </si>
  <si>
    <t>R00011</t>
  </si>
  <si>
    <t>FRESH STRAWBERRIES 500G</t>
  </si>
  <si>
    <t>R00012</t>
  </si>
  <si>
    <t>TOMATO PASSATA 700ML</t>
  </si>
  <si>
    <t>700ml</t>
  </si>
  <si>
    <t>R00013</t>
  </si>
  <si>
    <t>PASTA WHOLEGRAIN 500G</t>
  </si>
  <si>
    <t>R00014</t>
  </si>
  <si>
    <t>GREEN MEADOW YOGURT 1KG</t>
  </si>
  <si>
    <t>Card</t>
  </si>
  <si>
    <t>Synthetic receipt for public testing</t>
  </si>
  <si>
    <t>Cash</t>
  </si>
  <si>
    <t>Confirmed</t>
  </si>
  <si>
    <t>Synthetic alias</t>
  </si>
  <si>
    <t>REV0001</t>
  </si>
  <si>
    <t>TEST SNACK BAR</t>
  </si>
  <si>
    <t>Unknown product</t>
  </si>
  <si>
    <t>Pending</t>
  </si>
  <si>
    <t>REV0002</t>
  </si>
  <si>
    <t>SAMPLE GRANOLA</t>
  </si>
  <si>
    <t>Missing weight/package size</t>
  </si>
  <si>
    <t>REV0003</t>
  </si>
  <si>
    <t>VEG MIX</t>
  </si>
  <si>
    <t>Mixed vegetables</t>
  </si>
  <si>
    <t>REV0004</t>
  </si>
  <si>
    <t>PROMO ITEM</t>
  </si>
  <si>
    <t>Unassigned discount</t>
  </si>
  <si>
    <t>Review discount of -€0.50</t>
  </si>
  <si>
    <t>Tomato pasta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</si>
</sst>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00"/>
    <numFmt numFmtId="166" formatCode="yyyy\-mm\-dd"/>
    <numFmt numFmtId="167" formatCode="\€0.00"/>
  </numFmts>
  <fonts count="5" x14ac:knownFonts="1">
    <font>
      <sz val="11"/>
      <color theme="1"/>
      <name val="Aptos Narrow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b/>
      <sz val="16"/>
      <color rgb="FFFFFFFF"/>
      <name val="Aptos Narrow"/>
      <family val="2"/>
    </font>
    <font>
      <b/>
      <sz val="11"/>
      <color rgb="FF1F1F1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89013336588644"/>
        <bgColor indexed="65"/>
      </patternFill>
    </fill>
    <fill>
      <patternFill patternType="solid">
        <fgColor theme="4" tint="0.59990234076967686"/>
        <bgColor indexed="65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6" borderId="0" xfId="0" applyFont="1" applyFill="1" applyAlignment="1">
      <alignment wrapText="1"/>
    </xf>
    <xf numFmtId="0" fontId="3" fillId="5" borderId="0" xfId="0" applyFont="1" applyFill="1" applyAlignment="1">
      <alignment horizontal="left" vertical="center"/>
    </xf>
    <xf numFmtId="0" fontId="1" fillId="0" borderId="0" xfId="0" applyFont="1" applyAlignment="1">
      <alignment wrapText="1"/>
    </xf>
  </cellXfs>
  <cellStyles count="3">
    <cellStyle name="20% - Accent1" xfId="1" xr:uid="{00000000-0005-0000-0000-000000000000}"/>
    <cellStyle name="40% - Accent1" xfId="2" xr:uid="{00000000-0005-0000-0000-000001000000}"/>
    <cellStyle name="Normal" xfId="0" builtinId="0"/>
  </cellStyles>
  <dxfs count="4">
    <dxf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C22" sqref="C22"/>
    </sheetView>
  </sheetViews>
  <sheetFormatPr defaultRowHeight="14.6" x14ac:dyDescent="0.4"/>
  <cols>
    <col min="1" max="1" width="24" customWidth="1"/>
    <col min="2" max="2" width="18" customWidth="1"/>
    <col min="4" max="4" width="18" customWidth="1"/>
    <col min="5" max="8" width="16" customWidth="1"/>
  </cols>
  <sheetData>
    <row r="1" spans="1:8" x14ac:dyDescent="0.4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4">
      <c r="A2" s="11"/>
      <c r="B2" s="11"/>
      <c r="C2" s="11"/>
      <c r="D2" s="11"/>
      <c r="E2" s="11"/>
      <c r="F2" s="11"/>
      <c r="G2" s="11"/>
      <c r="H2" s="11"/>
    </row>
    <row r="4" spans="1:8" x14ac:dyDescent="0.4">
      <c r="A4" s="1" t="s">
        <v>1</v>
      </c>
      <c r="B4" s="1" t="s">
        <v>2</v>
      </c>
      <c r="D4" s="10" t="s">
        <v>3</v>
      </c>
      <c r="E4" s="10"/>
      <c r="F4" s="10"/>
      <c r="G4" s="10"/>
      <c r="H4" s="10"/>
    </row>
    <row r="5" spans="1:8" x14ac:dyDescent="0.4">
      <c r="A5" s="2" t="s">
        <v>4</v>
      </c>
      <c r="B5" s="2">
        <f>COUNTA(Products!A2:A500)</f>
        <v>10</v>
      </c>
      <c r="D5" s="2" t="s">
        <v>5</v>
      </c>
      <c r="E5" s="9" t="s">
        <v>6</v>
      </c>
      <c r="F5" s="9"/>
      <c r="G5" s="9"/>
      <c r="H5" s="9"/>
    </row>
    <row r="6" spans="1:8" x14ac:dyDescent="0.4">
      <c r="A6" s="2" t="s">
        <v>7</v>
      </c>
      <c r="B6" s="2">
        <f>COUNTA(Price_History!A2:A1000)</f>
        <v>14</v>
      </c>
      <c r="D6" s="2" t="s">
        <v>8</v>
      </c>
      <c r="E6" s="9" t="s">
        <v>9</v>
      </c>
      <c r="F6" s="9"/>
      <c r="G6" s="9"/>
      <c r="H6" s="9"/>
    </row>
    <row r="7" spans="1:8" x14ac:dyDescent="0.4">
      <c r="A7" s="2" t="s">
        <v>10</v>
      </c>
      <c r="B7" s="2">
        <f>COUNTA(Receipts!A2:A500)</f>
        <v>3</v>
      </c>
      <c r="D7" s="2" t="s">
        <v>11</v>
      </c>
      <c r="E7" s="9" t="s">
        <v>12</v>
      </c>
      <c r="F7" s="9"/>
      <c r="G7" s="9"/>
      <c r="H7" s="9"/>
    </row>
    <row r="8" spans="1:8" x14ac:dyDescent="0.4">
      <c r="A8" s="2" t="s">
        <v>13</v>
      </c>
      <c r="B8" s="2">
        <f>COUNTIF(Review!G2:G500,"Pending")</f>
        <v>4</v>
      </c>
      <c r="D8" s="2" t="s">
        <v>14</v>
      </c>
      <c r="E8" s="9" t="s">
        <v>15</v>
      </c>
      <c r="F8" s="9"/>
      <c r="G8" s="9"/>
      <c r="H8" s="9"/>
    </row>
    <row r="9" spans="1:8" x14ac:dyDescent="0.4">
      <c r="A9" s="2"/>
      <c r="B9" s="2"/>
    </row>
    <row r="10" spans="1:8" x14ac:dyDescent="0.4">
      <c r="A10" s="2"/>
      <c r="B10" s="2"/>
      <c r="D10" s="10" t="s">
        <v>17</v>
      </c>
      <c r="E10" s="10"/>
      <c r="F10" s="10"/>
      <c r="G10" s="10"/>
      <c r="H10" s="10"/>
    </row>
    <row r="11" spans="1:8" x14ac:dyDescent="0.4">
      <c r="A11" s="2"/>
      <c r="B11" s="2"/>
      <c r="D11" s="9" t="s">
        <v>18</v>
      </c>
      <c r="E11" s="9"/>
      <c r="F11" s="9"/>
      <c r="G11" s="9"/>
      <c r="H11" s="9"/>
    </row>
    <row r="12" spans="1:8" x14ac:dyDescent="0.4">
      <c r="A12" s="2"/>
      <c r="B12" s="2"/>
      <c r="D12" s="9" t="s">
        <v>19</v>
      </c>
      <c r="E12" s="9"/>
      <c r="F12" s="9"/>
      <c r="G12" s="9"/>
      <c r="H12" s="9"/>
    </row>
    <row r="13" spans="1:8" x14ac:dyDescent="0.4">
      <c r="A13" s="2"/>
      <c r="B13" s="2"/>
      <c r="D13" s="9" t="s">
        <v>20</v>
      </c>
      <c r="E13" s="9"/>
      <c r="F13" s="9"/>
      <c r="G13" s="9"/>
      <c r="H13" s="9"/>
    </row>
    <row r="14" spans="1:8" x14ac:dyDescent="0.4">
      <c r="A14" s="2"/>
      <c r="B14" s="2"/>
    </row>
    <row r="15" spans="1:8" x14ac:dyDescent="0.4">
      <c r="A15" s="2"/>
      <c r="B15" s="2"/>
    </row>
    <row r="16" spans="1: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</sheetData>
  <mergeCells count="10">
    <mergeCell ref="A1:H2"/>
    <mergeCell ref="D4:H4"/>
    <mergeCell ref="E5:H5"/>
    <mergeCell ref="E6:H6"/>
    <mergeCell ref="E7:H7"/>
    <mergeCell ref="E8:H8"/>
    <mergeCell ref="D10:H10"/>
    <mergeCell ref="D11:H11"/>
    <mergeCell ref="D12:H12"/>
    <mergeCell ref="D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0"/>
  <sheetViews>
    <sheetView tabSelected="1" workbookViewId="0">
      <selection activeCell="E22" sqref="E22"/>
    </sheetView>
  </sheetViews>
  <sheetFormatPr defaultRowHeight="14.6" x14ac:dyDescent="0.4"/>
  <cols>
    <col min="1" max="1" width="12" customWidth="1"/>
    <col min="2" max="2" width="28" customWidth="1"/>
    <col min="3" max="3" width="18" customWidth="1"/>
    <col min="4" max="4" width="20" customWidth="1"/>
    <col min="5" max="5" width="18" customWidth="1"/>
    <col min="6" max="6" width="16" customWidth="1"/>
    <col min="7" max="7" width="10" customWidth="1"/>
    <col min="8" max="8" width="34" customWidth="1"/>
  </cols>
  <sheetData>
    <row r="1" spans="1:26" x14ac:dyDescent="0.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4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">
      <c r="A3" s="2" t="s">
        <v>61</v>
      </c>
      <c r="B3" s="2" t="s">
        <v>62</v>
      </c>
      <c r="C3" s="2" t="s">
        <v>55</v>
      </c>
      <c r="D3" s="2" t="s">
        <v>63</v>
      </c>
      <c r="E3" s="2"/>
      <c r="F3" s="2" t="s">
        <v>64</v>
      </c>
      <c r="G3" s="2" t="s">
        <v>59</v>
      </c>
      <c r="H3" s="2" t="s">
        <v>60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">
      <c r="A4" s="2" t="s">
        <v>65</v>
      </c>
      <c r="B4" s="2" t="s">
        <v>66</v>
      </c>
      <c r="C4" s="2" t="s">
        <v>55</v>
      </c>
      <c r="D4" s="2" t="s">
        <v>67</v>
      </c>
      <c r="E4" s="2" t="s">
        <v>68</v>
      </c>
      <c r="F4" s="2" t="s">
        <v>64</v>
      </c>
      <c r="G4" s="2" t="s">
        <v>59</v>
      </c>
      <c r="H4" s="2" t="s">
        <v>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4">
      <c r="A5" s="2" t="s">
        <v>69</v>
      </c>
      <c r="B5" s="2" t="s">
        <v>70</v>
      </c>
      <c r="C5" s="2" t="s">
        <v>55</v>
      </c>
      <c r="D5" s="2" t="s">
        <v>67</v>
      </c>
      <c r="E5" s="2" t="s">
        <v>71</v>
      </c>
      <c r="F5" s="2" t="s">
        <v>64</v>
      </c>
      <c r="G5" s="2" t="s">
        <v>59</v>
      </c>
      <c r="H5" s="2" t="s">
        <v>60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4">
      <c r="A6" s="2" t="s">
        <v>72</v>
      </c>
      <c r="B6" s="2" t="s">
        <v>73</v>
      </c>
      <c r="C6" s="2" t="s">
        <v>55</v>
      </c>
      <c r="D6" s="2" t="s">
        <v>74</v>
      </c>
      <c r="E6" s="2" t="s">
        <v>75</v>
      </c>
      <c r="F6" s="2" t="s">
        <v>64</v>
      </c>
      <c r="G6" s="2" t="s">
        <v>59</v>
      </c>
      <c r="H6" s="2" t="s">
        <v>60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">
      <c r="A7" s="2" t="s">
        <v>76</v>
      </c>
      <c r="B7" s="2" t="s">
        <v>77</v>
      </c>
      <c r="C7" s="2" t="s">
        <v>55</v>
      </c>
      <c r="D7" s="2" t="s">
        <v>63</v>
      </c>
      <c r="E7" s="2"/>
      <c r="F7" s="2" t="s">
        <v>64</v>
      </c>
      <c r="G7" s="2" t="s">
        <v>59</v>
      </c>
      <c r="H7" s="2" t="s">
        <v>60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4">
      <c r="A8" s="2" t="s">
        <v>78</v>
      </c>
      <c r="B8" s="2" t="s">
        <v>79</v>
      </c>
      <c r="C8" s="2" t="s">
        <v>55</v>
      </c>
      <c r="D8" s="2" t="s">
        <v>80</v>
      </c>
      <c r="E8" s="2"/>
      <c r="F8" s="2" t="s">
        <v>64</v>
      </c>
      <c r="G8" s="2" t="s">
        <v>59</v>
      </c>
      <c r="H8" s="2" t="s">
        <v>60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">
      <c r="A9" s="2" t="s">
        <v>81</v>
      </c>
      <c r="B9" s="2" t="s">
        <v>82</v>
      </c>
      <c r="C9" s="2" t="s">
        <v>55</v>
      </c>
      <c r="D9" s="2" t="s">
        <v>83</v>
      </c>
      <c r="E9" s="2" t="s">
        <v>84</v>
      </c>
      <c r="F9" s="2" t="s">
        <v>64</v>
      </c>
      <c r="G9" s="2" t="s">
        <v>59</v>
      </c>
      <c r="H9" s="2" t="s">
        <v>60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">
      <c r="A10" s="2" t="s">
        <v>85</v>
      </c>
      <c r="B10" s="12" t="s">
        <v>154</v>
      </c>
      <c r="C10" s="2" t="s">
        <v>55</v>
      </c>
      <c r="D10" s="2" t="s">
        <v>83</v>
      </c>
      <c r="E10" s="2" t="s">
        <v>86</v>
      </c>
      <c r="F10" s="2" t="s">
        <v>58</v>
      </c>
      <c r="G10" s="2" t="s">
        <v>59</v>
      </c>
      <c r="H10" s="2" t="s">
        <v>60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58</v>
      </c>
      <c r="G11" s="2" t="s">
        <v>59</v>
      </c>
      <c r="H11" s="2" t="s">
        <v>60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dataValidations count="3">
    <dataValidation type="list" sqref="C2:C500" xr:uid="{00000000-0002-0000-0100-000000000000}">
      <formula1>"Food,Kitchen,Hygiene,Household,Uncategorized"</formula1>
    </dataValidation>
    <dataValidation type="list" sqref="F2:F500" xr:uid="{00000000-0002-0000-0100-000001000000}">
      <formula1>"kg,L,unit,"</formula1>
    </dataValidation>
    <dataValidation type="list" sqref="G2:G500" xr:uid="{00000000-0002-0000-0100-000002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0"/>
  <sheetViews>
    <sheetView workbookViewId="0"/>
  </sheetViews>
  <sheetFormatPr defaultRowHeight="14.6" x14ac:dyDescent="0.4"/>
  <cols>
    <col min="1" max="1" width="12" customWidth="1"/>
    <col min="2" max="2" width="11" customWidth="1"/>
    <col min="3" max="3" width="12" customWidth="1"/>
    <col min="4" max="4" width="20" customWidth="1"/>
    <col min="5" max="5" width="12" customWidth="1"/>
    <col min="6" max="6" width="26" customWidth="1"/>
    <col min="7" max="7" width="18" customWidth="1"/>
    <col min="8" max="13" width="15" customWidth="1"/>
    <col min="14" max="14" width="38" customWidth="1"/>
  </cols>
  <sheetData>
    <row r="1" spans="1:26" ht="29.15" x14ac:dyDescent="0.4">
      <c r="A1" s="1" t="s">
        <v>29</v>
      </c>
      <c r="B1" s="1" t="s">
        <v>30</v>
      </c>
      <c r="C1" s="1" t="s">
        <v>31</v>
      </c>
      <c r="D1" s="1" t="s">
        <v>16</v>
      </c>
      <c r="E1" s="1" t="s">
        <v>21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4">
      <c r="A2" s="2" t="s">
        <v>92</v>
      </c>
      <c r="B2" s="2" t="s">
        <v>93</v>
      </c>
      <c r="C2" s="7">
        <v>46270</v>
      </c>
      <c r="D2" s="2" t="s">
        <v>94</v>
      </c>
      <c r="E2" s="2" t="s">
        <v>53</v>
      </c>
      <c r="F2" s="2" t="s">
        <v>95</v>
      </c>
      <c r="G2" s="2" t="s">
        <v>96</v>
      </c>
      <c r="H2" s="4">
        <v>1</v>
      </c>
      <c r="I2" s="2" t="s">
        <v>58</v>
      </c>
      <c r="J2" s="8">
        <v>1.49</v>
      </c>
      <c r="K2" s="8">
        <v>0.2</v>
      </c>
      <c r="L2" s="8">
        <f t="shared" ref="L2:L33" si="0">IF(J2="","",J2-K2)</f>
        <v>1.29</v>
      </c>
      <c r="M2" s="8">
        <f t="shared" ref="M2:M33" si="1">IFERROR(IF(AND(L2&lt;&gt;"",H2&lt;&gt;"",H2&gt;0),L2/H2,""),"")</f>
        <v>1.29</v>
      </c>
      <c r="N2" s="2" t="s">
        <v>97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">
      <c r="A3" s="2" t="s">
        <v>98</v>
      </c>
      <c r="B3" s="2" t="s">
        <v>93</v>
      </c>
      <c r="C3" s="7">
        <v>46270</v>
      </c>
      <c r="D3" s="2" t="s">
        <v>94</v>
      </c>
      <c r="E3" s="2" t="s">
        <v>61</v>
      </c>
      <c r="F3" s="2" t="s">
        <v>99</v>
      </c>
      <c r="G3" s="2" t="s">
        <v>100</v>
      </c>
      <c r="H3" s="4">
        <v>0.4</v>
      </c>
      <c r="I3" s="2" t="s">
        <v>64</v>
      </c>
      <c r="J3" s="8">
        <v>2.8</v>
      </c>
      <c r="K3" s="8">
        <v>0.3</v>
      </c>
      <c r="L3" s="8">
        <f t="shared" si="0"/>
        <v>2.5</v>
      </c>
      <c r="M3" s="8">
        <f t="shared" si="1"/>
        <v>6.25</v>
      </c>
      <c r="N3" s="2" t="s">
        <v>97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">
      <c r="A4" s="2" t="s">
        <v>101</v>
      </c>
      <c r="B4" s="2" t="s">
        <v>93</v>
      </c>
      <c r="C4" s="7">
        <v>46270</v>
      </c>
      <c r="D4" s="2" t="s">
        <v>94</v>
      </c>
      <c r="E4" s="2" t="s">
        <v>65</v>
      </c>
      <c r="F4" s="2" t="s">
        <v>102</v>
      </c>
      <c r="G4" s="2" t="s">
        <v>103</v>
      </c>
      <c r="H4" s="4">
        <v>0.75</v>
      </c>
      <c r="I4" s="2" t="s">
        <v>64</v>
      </c>
      <c r="J4" s="8">
        <v>3.25</v>
      </c>
      <c r="K4" s="8">
        <v>0</v>
      </c>
      <c r="L4" s="8">
        <f t="shared" si="0"/>
        <v>3.25</v>
      </c>
      <c r="M4" s="8">
        <f t="shared" si="1"/>
        <v>4.333333333333333</v>
      </c>
      <c r="N4" s="2" t="s">
        <v>97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4">
      <c r="A5" s="2" t="s">
        <v>104</v>
      </c>
      <c r="B5" s="2" t="s">
        <v>93</v>
      </c>
      <c r="C5" s="7">
        <v>46270</v>
      </c>
      <c r="D5" s="2" t="s">
        <v>94</v>
      </c>
      <c r="E5" s="2" t="s">
        <v>76</v>
      </c>
      <c r="F5" s="2" t="s">
        <v>105</v>
      </c>
      <c r="G5" s="2" t="s">
        <v>106</v>
      </c>
      <c r="H5" s="4">
        <v>1</v>
      </c>
      <c r="I5" s="2" t="s">
        <v>64</v>
      </c>
      <c r="J5" s="8">
        <v>1.95</v>
      </c>
      <c r="K5" s="8">
        <v>0</v>
      </c>
      <c r="L5" s="8">
        <f t="shared" si="0"/>
        <v>1.95</v>
      </c>
      <c r="M5" s="8">
        <f t="shared" si="1"/>
        <v>1.95</v>
      </c>
      <c r="N5" s="2" t="s">
        <v>97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4">
      <c r="A6" s="2" t="s">
        <v>107</v>
      </c>
      <c r="B6" s="2" t="s">
        <v>93</v>
      </c>
      <c r="C6" s="7">
        <v>46270</v>
      </c>
      <c r="D6" s="2" t="s">
        <v>94</v>
      </c>
      <c r="E6" s="2" t="s">
        <v>87</v>
      </c>
      <c r="F6" s="2" t="s">
        <v>108</v>
      </c>
      <c r="G6" s="2" t="s">
        <v>109</v>
      </c>
      <c r="H6" s="4">
        <v>0.5</v>
      </c>
      <c r="I6" s="2" t="s">
        <v>58</v>
      </c>
      <c r="J6" s="8">
        <v>2.35</v>
      </c>
      <c r="K6" s="8">
        <v>0.7</v>
      </c>
      <c r="L6" s="8">
        <f t="shared" si="0"/>
        <v>1.6500000000000001</v>
      </c>
      <c r="M6" s="8">
        <f t="shared" si="1"/>
        <v>3.3000000000000003</v>
      </c>
      <c r="N6" s="2" t="s">
        <v>97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">
      <c r="A7" s="2" t="s">
        <v>110</v>
      </c>
      <c r="B7" s="2" t="s">
        <v>111</v>
      </c>
      <c r="C7" s="7">
        <v>46277</v>
      </c>
      <c r="D7" s="2" t="s">
        <v>112</v>
      </c>
      <c r="E7" s="2" t="s">
        <v>69</v>
      </c>
      <c r="F7" s="2" t="s">
        <v>113</v>
      </c>
      <c r="G7" s="2" t="s">
        <v>114</v>
      </c>
      <c r="H7" s="4">
        <v>0.6</v>
      </c>
      <c r="I7" s="2" t="s">
        <v>64</v>
      </c>
      <c r="J7" s="8">
        <v>3.1</v>
      </c>
      <c r="K7" s="8">
        <v>0.4</v>
      </c>
      <c r="L7" s="8">
        <f t="shared" si="0"/>
        <v>2.7</v>
      </c>
      <c r="M7" s="8">
        <f t="shared" si="1"/>
        <v>4.5000000000000009</v>
      </c>
      <c r="N7" s="2" t="s">
        <v>97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4">
      <c r="A8" s="2" t="s">
        <v>115</v>
      </c>
      <c r="B8" s="2" t="s">
        <v>111</v>
      </c>
      <c r="C8" s="7">
        <v>46277</v>
      </c>
      <c r="D8" s="2" t="s">
        <v>112</v>
      </c>
      <c r="E8" s="2" t="s">
        <v>72</v>
      </c>
      <c r="F8" s="2" t="s">
        <v>116</v>
      </c>
      <c r="G8" s="2" t="s">
        <v>106</v>
      </c>
      <c r="H8" s="4">
        <v>1</v>
      </c>
      <c r="I8" s="2" t="s">
        <v>64</v>
      </c>
      <c r="J8" s="8">
        <v>2.0499999999999998</v>
      </c>
      <c r="K8" s="8">
        <v>0</v>
      </c>
      <c r="L8" s="8">
        <f t="shared" si="0"/>
        <v>2.0499999999999998</v>
      </c>
      <c r="M8" s="8">
        <f t="shared" si="1"/>
        <v>2.0499999999999998</v>
      </c>
      <c r="N8" s="2" t="s">
        <v>97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">
      <c r="A9" s="2" t="s">
        <v>117</v>
      </c>
      <c r="B9" s="2" t="s">
        <v>111</v>
      </c>
      <c r="C9" s="7">
        <v>46277</v>
      </c>
      <c r="D9" s="2" t="s">
        <v>112</v>
      </c>
      <c r="E9" s="2" t="s">
        <v>78</v>
      </c>
      <c r="F9" s="2" t="s">
        <v>118</v>
      </c>
      <c r="G9" s="2" t="s">
        <v>106</v>
      </c>
      <c r="H9" s="4">
        <v>1</v>
      </c>
      <c r="I9" s="2" t="s">
        <v>64</v>
      </c>
      <c r="J9" s="8">
        <v>1.2</v>
      </c>
      <c r="K9" s="8">
        <v>0.35</v>
      </c>
      <c r="L9" s="8">
        <f t="shared" si="0"/>
        <v>0.85</v>
      </c>
      <c r="M9" s="8">
        <f t="shared" si="1"/>
        <v>0.85</v>
      </c>
      <c r="N9" s="2" t="s">
        <v>97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">
      <c r="A10" s="2" t="s">
        <v>119</v>
      </c>
      <c r="B10" s="2" t="s">
        <v>111</v>
      </c>
      <c r="C10" s="7">
        <v>46277</v>
      </c>
      <c r="D10" s="2" t="s">
        <v>112</v>
      </c>
      <c r="E10" s="2" t="s">
        <v>81</v>
      </c>
      <c r="F10" s="2" t="s">
        <v>120</v>
      </c>
      <c r="G10" s="2" t="s">
        <v>121</v>
      </c>
      <c r="H10" s="4">
        <v>0.5</v>
      </c>
      <c r="I10" s="2" t="s">
        <v>64</v>
      </c>
      <c r="J10" s="8">
        <v>1.4</v>
      </c>
      <c r="K10" s="8">
        <v>0</v>
      </c>
      <c r="L10" s="8">
        <f t="shared" si="0"/>
        <v>1.4</v>
      </c>
      <c r="M10" s="8">
        <f t="shared" si="1"/>
        <v>2.8</v>
      </c>
      <c r="N10" s="2" t="s">
        <v>97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">
      <c r="A11" s="2" t="s">
        <v>122</v>
      </c>
      <c r="B11" s="2" t="s">
        <v>123</v>
      </c>
      <c r="C11" s="7">
        <v>46283</v>
      </c>
      <c r="D11" s="2" t="s">
        <v>124</v>
      </c>
      <c r="E11" s="2" t="s">
        <v>53</v>
      </c>
      <c r="F11" s="2" t="s">
        <v>125</v>
      </c>
      <c r="G11" s="2" t="s">
        <v>96</v>
      </c>
      <c r="H11" s="4">
        <v>1</v>
      </c>
      <c r="I11" s="2" t="s">
        <v>58</v>
      </c>
      <c r="J11" s="8">
        <v>1.39</v>
      </c>
      <c r="K11" s="8">
        <v>0</v>
      </c>
      <c r="L11" s="8">
        <f t="shared" si="0"/>
        <v>1.39</v>
      </c>
      <c r="M11" s="8">
        <f t="shared" si="1"/>
        <v>1.39</v>
      </c>
      <c r="N11" s="2" t="s">
        <v>97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">
      <c r="A12" s="2" t="s">
        <v>126</v>
      </c>
      <c r="B12" s="2" t="s">
        <v>123</v>
      </c>
      <c r="C12" s="7">
        <v>46283</v>
      </c>
      <c r="D12" s="2" t="s">
        <v>124</v>
      </c>
      <c r="E12" s="2" t="s">
        <v>61</v>
      </c>
      <c r="F12" s="2" t="s">
        <v>127</v>
      </c>
      <c r="G12" s="2" t="s">
        <v>121</v>
      </c>
      <c r="H12" s="4">
        <v>0.5</v>
      </c>
      <c r="I12" s="2" t="s">
        <v>64</v>
      </c>
      <c r="J12" s="8">
        <v>3.2</v>
      </c>
      <c r="K12" s="8">
        <v>0.3</v>
      </c>
      <c r="L12" s="8">
        <f t="shared" si="0"/>
        <v>2.9000000000000004</v>
      </c>
      <c r="M12" s="8">
        <f t="shared" si="1"/>
        <v>5.8000000000000007</v>
      </c>
      <c r="N12" s="2" t="s">
        <v>97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">
      <c r="A13" s="2" t="s">
        <v>128</v>
      </c>
      <c r="B13" s="2" t="s">
        <v>123</v>
      </c>
      <c r="C13" s="7">
        <v>46283</v>
      </c>
      <c r="D13" s="2" t="s">
        <v>124</v>
      </c>
      <c r="E13" s="2" t="s">
        <v>85</v>
      </c>
      <c r="F13" s="2" t="s">
        <v>129</v>
      </c>
      <c r="G13" s="2" t="s">
        <v>130</v>
      </c>
      <c r="H13" s="4">
        <v>0.7</v>
      </c>
      <c r="I13" s="2" t="s">
        <v>58</v>
      </c>
      <c r="J13" s="8">
        <v>1.65</v>
      </c>
      <c r="K13" s="8">
        <v>0</v>
      </c>
      <c r="L13" s="8">
        <f t="shared" si="0"/>
        <v>1.65</v>
      </c>
      <c r="M13" s="8">
        <f t="shared" si="1"/>
        <v>2.3571428571428572</v>
      </c>
      <c r="N13" s="2" t="s">
        <v>97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">
      <c r="A14" s="2" t="s">
        <v>131</v>
      </c>
      <c r="B14" s="2" t="s">
        <v>123</v>
      </c>
      <c r="C14" s="7">
        <v>46283</v>
      </c>
      <c r="D14" s="2" t="s">
        <v>124</v>
      </c>
      <c r="E14" s="2" t="s">
        <v>81</v>
      </c>
      <c r="F14" s="2" t="s">
        <v>132</v>
      </c>
      <c r="G14" s="2" t="s">
        <v>121</v>
      </c>
      <c r="H14" s="4">
        <v>0.5</v>
      </c>
      <c r="I14" s="2" t="s">
        <v>64</v>
      </c>
      <c r="J14" s="8">
        <v>1.35</v>
      </c>
      <c r="K14" s="8">
        <v>0</v>
      </c>
      <c r="L14" s="8">
        <f t="shared" si="0"/>
        <v>1.35</v>
      </c>
      <c r="M14" s="8">
        <f t="shared" si="1"/>
        <v>2.7</v>
      </c>
      <c r="N14" s="2" t="s">
        <v>97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">
      <c r="A15" s="2" t="s">
        <v>133</v>
      </c>
      <c r="B15" s="2" t="s">
        <v>123</v>
      </c>
      <c r="C15" s="7">
        <v>46283</v>
      </c>
      <c r="D15" s="2" t="s">
        <v>124</v>
      </c>
      <c r="E15" s="2" t="s">
        <v>72</v>
      </c>
      <c r="F15" s="2" t="s">
        <v>134</v>
      </c>
      <c r="G15" s="2" t="s">
        <v>106</v>
      </c>
      <c r="H15" s="4">
        <v>1</v>
      </c>
      <c r="I15" s="2" t="s">
        <v>64</v>
      </c>
      <c r="J15" s="8">
        <v>2.1</v>
      </c>
      <c r="K15" s="8">
        <v>0.8</v>
      </c>
      <c r="L15" s="8">
        <f t="shared" si="0"/>
        <v>1.3</v>
      </c>
      <c r="M15" s="8">
        <f t="shared" si="1"/>
        <v>1.3</v>
      </c>
      <c r="N15" s="2" t="s">
        <v>97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">
      <c r="A16" s="2"/>
      <c r="B16" s="2"/>
      <c r="C16" s="3"/>
      <c r="D16" s="2"/>
      <c r="E16" s="2"/>
      <c r="F16" s="2"/>
      <c r="G16" s="2"/>
      <c r="H16" s="4"/>
      <c r="I16" s="2"/>
      <c r="J16" s="5"/>
      <c r="K16" s="5"/>
      <c r="L16" s="5" t="str">
        <f t="shared" si="0"/>
        <v/>
      </c>
      <c r="M16" s="5" t="str">
        <f t="shared" si="1"/>
        <v/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">
      <c r="A17" s="2"/>
      <c r="B17" s="2"/>
      <c r="C17" s="3"/>
      <c r="D17" s="2"/>
      <c r="E17" s="2"/>
      <c r="F17" s="2"/>
      <c r="G17" s="2"/>
      <c r="H17" s="4"/>
      <c r="I17" s="2"/>
      <c r="J17" s="5"/>
      <c r="K17" s="5"/>
      <c r="L17" s="5" t="str">
        <f t="shared" si="0"/>
        <v/>
      </c>
      <c r="M17" s="5" t="str">
        <f t="shared" si="1"/>
        <v/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">
      <c r="A18" s="2"/>
      <c r="B18" s="2"/>
      <c r="C18" s="3"/>
      <c r="D18" s="2"/>
      <c r="E18" s="2"/>
      <c r="F18" s="2"/>
      <c r="G18" s="2"/>
      <c r="H18" s="4"/>
      <c r="I18" s="2"/>
      <c r="J18" s="5"/>
      <c r="K18" s="5"/>
      <c r="L18" s="5" t="str">
        <f t="shared" si="0"/>
        <v/>
      </c>
      <c r="M18" s="5" t="str">
        <f t="shared" si="1"/>
        <v/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">
      <c r="A19" s="2"/>
      <c r="B19" s="2"/>
      <c r="C19" s="3"/>
      <c r="D19" s="2"/>
      <c r="E19" s="2"/>
      <c r="F19" s="2"/>
      <c r="G19" s="2"/>
      <c r="H19" s="4"/>
      <c r="I19" s="2"/>
      <c r="J19" s="5"/>
      <c r="K19" s="5"/>
      <c r="L19" s="5" t="str">
        <f t="shared" si="0"/>
        <v/>
      </c>
      <c r="M19" s="5" t="str">
        <f t="shared" si="1"/>
        <v/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">
      <c r="A20" s="2"/>
      <c r="B20" s="2"/>
      <c r="C20" s="3"/>
      <c r="D20" s="2"/>
      <c r="E20" s="2"/>
      <c r="F20" s="2"/>
      <c r="G20" s="2"/>
      <c r="H20" s="4"/>
      <c r="I20" s="2"/>
      <c r="J20" s="5"/>
      <c r="K20" s="5"/>
      <c r="L20" s="5" t="str">
        <f t="shared" si="0"/>
        <v/>
      </c>
      <c r="M20" s="5" t="str">
        <f t="shared" si="1"/>
        <v/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">
      <c r="A21" s="2"/>
      <c r="B21" s="2"/>
      <c r="C21" s="3"/>
      <c r="D21" s="2"/>
      <c r="E21" s="2"/>
      <c r="F21" s="2"/>
      <c r="G21" s="2"/>
      <c r="H21" s="4"/>
      <c r="I21" s="2"/>
      <c r="J21" s="5"/>
      <c r="K21" s="5"/>
      <c r="L21" s="5" t="str">
        <f t="shared" si="0"/>
        <v/>
      </c>
      <c r="M21" s="5" t="str">
        <f t="shared" si="1"/>
        <v/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">
      <c r="A22" s="2"/>
      <c r="B22" s="2"/>
      <c r="C22" s="3"/>
      <c r="D22" s="2"/>
      <c r="E22" s="2"/>
      <c r="F22" s="2"/>
      <c r="G22" s="2"/>
      <c r="H22" s="4"/>
      <c r="I22" s="2"/>
      <c r="J22" s="5"/>
      <c r="K22" s="5"/>
      <c r="L22" s="5" t="str">
        <f t="shared" si="0"/>
        <v/>
      </c>
      <c r="M22" s="5" t="str">
        <f t="shared" si="1"/>
        <v/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">
      <c r="A23" s="2"/>
      <c r="B23" s="2"/>
      <c r="C23" s="3"/>
      <c r="D23" s="2"/>
      <c r="E23" s="2"/>
      <c r="F23" s="2"/>
      <c r="G23" s="2"/>
      <c r="H23" s="4"/>
      <c r="I23" s="2"/>
      <c r="J23" s="5"/>
      <c r="K23" s="5"/>
      <c r="L23" s="5" t="str">
        <f t="shared" si="0"/>
        <v/>
      </c>
      <c r="M23" s="5" t="str">
        <f t="shared" si="1"/>
        <v/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">
      <c r="A24" s="2"/>
      <c r="B24" s="2"/>
      <c r="C24" s="3"/>
      <c r="D24" s="2"/>
      <c r="E24" s="2"/>
      <c r="F24" s="2"/>
      <c r="G24" s="2"/>
      <c r="H24" s="4"/>
      <c r="I24" s="2"/>
      <c r="J24" s="5"/>
      <c r="K24" s="5"/>
      <c r="L24" s="5" t="str">
        <f t="shared" si="0"/>
        <v/>
      </c>
      <c r="M24" s="5" t="str">
        <f t="shared" si="1"/>
        <v/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2"/>
      <c r="C25" s="3"/>
      <c r="D25" s="2"/>
      <c r="E25" s="2"/>
      <c r="F25" s="2"/>
      <c r="G25" s="2"/>
      <c r="H25" s="4"/>
      <c r="I25" s="2"/>
      <c r="J25" s="5"/>
      <c r="K25" s="5"/>
      <c r="L25" s="5" t="str">
        <f t="shared" si="0"/>
        <v/>
      </c>
      <c r="M25" s="5" t="str">
        <f t="shared" si="1"/>
        <v/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2"/>
      <c r="C26" s="3"/>
      <c r="D26" s="2"/>
      <c r="E26" s="2"/>
      <c r="F26" s="2"/>
      <c r="G26" s="2"/>
      <c r="H26" s="4"/>
      <c r="I26" s="2"/>
      <c r="J26" s="5"/>
      <c r="K26" s="5"/>
      <c r="L26" s="5" t="str">
        <f t="shared" si="0"/>
        <v/>
      </c>
      <c r="M26" s="5" t="str">
        <f t="shared" si="1"/>
        <v/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2"/>
      <c r="C27" s="3"/>
      <c r="D27" s="2"/>
      <c r="E27" s="2"/>
      <c r="F27" s="2"/>
      <c r="G27" s="2"/>
      <c r="H27" s="4"/>
      <c r="I27" s="2"/>
      <c r="J27" s="5"/>
      <c r="K27" s="5"/>
      <c r="L27" s="5" t="str">
        <f t="shared" si="0"/>
        <v/>
      </c>
      <c r="M27" s="5" t="str">
        <f t="shared" si="1"/>
        <v/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2"/>
      <c r="C28" s="3"/>
      <c r="D28" s="2"/>
      <c r="E28" s="2"/>
      <c r="F28" s="2"/>
      <c r="G28" s="2"/>
      <c r="H28" s="4"/>
      <c r="I28" s="2"/>
      <c r="J28" s="5"/>
      <c r="K28" s="5"/>
      <c r="L28" s="5" t="str">
        <f t="shared" si="0"/>
        <v/>
      </c>
      <c r="M28" s="5" t="str">
        <f t="shared" si="1"/>
        <v/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">
      <c r="A29" s="2"/>
      <c r="B29" s="2"/>
      <c r="C29" s="3"/>
      <c r="D29" s="2"/>
      <c r="E29" s="2"/>
      <c r="F29" s="2"/>
      <c r="G29" s="2"/>
      <c r="H29" s="4"/>
      <c r="I29" s="2"/>
      <c r="J29" s="5"/>
      <c r="K29" s="5"/>
      <c r="L29" s="5" t="str">
        <f t="shared" si="0"/>
        <v/>
      </c>
      <c r="M29" s="5" t="str">
        <f t="shared" si="1"/>
        <v/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">
      <c r="A30" s="2"/>
      <c r="B30" s="2"/>
      <c r="C30" s="3"/>
      <c r="D30" s="2"/>
      <c r="E30" s="2"/>
      <c r="F30" s="2"/>
      <c r="G30" s="2"/>
      <c r="H30" s="4"/>
      <c r="I30" s="2"/>
      <c r="J30" s="5"/>
      <c r="K30" s="5"/>
      <c r="L30" s="5" t="str">
        <f t="shared" si="0"/>
        <v/>
      </c>
      <c r="M30" s="5" t="str">
        <f t="shared" si="1"/>
        <v/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">
      <c r="A31" s="2"/>
      <c r="B31" s="2"/>
      <c r="C31" s="3"/>
      <c r="D31" s="2"/>
      <c r="E31" s="2"/>
      <c r="F31" s="2"/>
      <c r="G31" s="2"/>
      <c r="H31" s="4"/>
      <c r="I31" s="2"/>
      <c r="J31" s="5"/>
      <c r="K31" s="5"/>
      <c r="L31" s="5" t="str">
        <f t="shared" si="0"/>
        <v/>
      </c>
      <c r="M31" s="5" t="str">
        <f t="shared" si="1"/>
        <v/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">
      <c r="A32" s="2"/>
      <c r="B32" s="2"/>
      <c r="C32" s="3"/>
      <c r="D32" s="2"/>
      <c r="E32" s="2"/>
      <c r="F32" s="2"/>
      <c r="G32" s="2"/>
      <c r="H32" s="4"/>
      <c r="I32" s="2"/>
      <c r="J32" s="5"/>
      <c r="K32" s="5"/>
      <c r="L32" s="5" t="str">
        <f t="shared" si="0"/>
        <v/>
      </c>
      <c r="M32" s="5" t="str">
        <f t="shared" si="1"/>
        <v/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">
      <c r="A33" s="2"/>
      <c r="B33" s="2"/>
      <c r="C33" s="3"/>
      <c r="D33" s="2"/>
      <c r="E33" s="2"/>
      <c r="F33" s="2"/>
      <c r="G33" s="2"/>
      <c r="H33" s="4"/>
      <c r="I33" s="2"/>
      <c r="J33" s="5"/>
      <c r="K33" s="5"/>
      <c r="L33" s="5" t="str">
        <f t="shared" si="0"/>
        <v/>
      </c>
      <c r="M33" s="5" t="str">
        <f t="shared" si="1"/>
        <v/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">
      <c r="A34" s="2"/>
      <c r="B34" s="2"/>
      <c r="C34" s="3"/>
      <c r="D34" s="2"/>
      <c r="E34" s="2"/>
      <c r="F34" s="2"/>
      <c r="G34" s="2"/>
      <c r="H34" s="4"/>
      <c r="I34" s="2"/>
      <c r="J34" s="5"/>
      <c r="K34" s="5"/>
      <c r="L34" s="5" t="str">
        <f t="shared" ref="L34:L65" si="2">IF(J34="","",J34-K34)</f>
        <v/>
      </c>
      <c r="M34" s="5" t="str">
        <f t="shared" ref="M34:M65" si="3">IFERROR(IF(AND(L34&lt;&gt;"",H34&lt;&gt;"",H34&gt;0),L34/H34,""),"")</f>
        <v/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">
      <c r="A35" s="2"/>
      <c r="B35" s="2"/>
      <c r="C35" s="3"/>
      <c r="D35" s="2"/>
      <c r="E35" s="2"/>
      <c r="F35" s="2"/>
      <c r="G35" s="2"/>
      <c r="H35" s="4"/>
      <c r="I35" s="2"/>
      <c r="J35" s="5"/>
      <c r="K35" s="5"/>
      <c r="L35" s="5" t="str">
        <f t="shared" si="2"/>
        <v/>
      </c>
      <c r="M35" s="5" t="str">
        <f t="shared" si="3"/>
        <v/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">
      <c r="A36" s="2"/>
      <c r="B36" s="2"/>
      <c r="C36" s="3"/>
      <c r="D36" s="2"/>
      <c r="E36" s="2"/>
      <c r="F36" s="2"/>
      <c r="G36" s="2"/>
      <c r="H36" s="4"/>
      <c r="I36" s="2"/>
      <c r="J36" s="5"/>
      <c r="K36" s="5"/>
      <c r="L36" s="5" t="str">
        <f t="shared" si="2"/>
        <v/>
      </c>
      <c r="M36" s="5" t="str">
        <f t="shared" si="3"/>
        <v/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">
      <c r="A37" s="2"/>
      <c r="B37" s="2"/>
      <c r="C37" s="3"/>
      <c r="D37" s="2"/>
      <c r="E37" s="2"/>
      <c r="F37" s="2"/>
      <c r="G37" s="2"/>
      <c r="H37" s="4"/>
      <c r="I37" s="2"/>
      <c r="J37" s="5"/>
      <c r="K37" s="5"/>
      <c r="L37" s="5" t="str">
        <f t="shared" si="2"/>
        <v/>
      </c>
      <c r="M37" s="5" t="str">
        <f t="shared" si="3"/>
        <v/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2"/>
      <c r="B38" s="2"/>
      <c r="C38" s="3"/>
      <c r="D38" s="2"/>
      <c r="E38" s="2"/>
      <c r="F38" s="2"/>
      <c r="G38" s="2"/>
      <c r="H38" s="4"/>
      <c r="I38" s="2"/>
      <c r="J38" s="5"/>
      <c r="K38" s="5"/>
      <c r="L38" s="5" t="str">
        <f t="shared" si="2"/>
        <v/>
      </c>
      <c r="M38" s="5" t="str">
        <f t="shared" si="3"/>
        <v/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2"/>
      <c r="C39" s="3"/>
      <c r="D39" s="2"/>
      <c r="E39" s="2"/>
      <c r="F39" s="2"/>
      <c r="G39" s="2"/>
      <c r="H39" s="4"/>
      <c r="I39" s="2"/>
      <c r="J39" s="5"/>
      <c r="K39" s="5"/>
      <c r="L39" s="5" t="str">
        <f t="shared" si="2"/>
        <v/>
      </c>
      <c r="M39" s="5" t="str">
        <f t="shared" si="3"/>
        <v/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2"/>
      <c r="B40" s="2"/>
      <c r="C40" s="3"/>
      <c r="D40" s="2"/>
      <c r="E40" s="2"/>
      <c r="F40" s="2"/>
      <c r="G40" s="2"/>
      <c r="H40" s="4"/>
      <c r="I40" s="2"/>
      <c r="J40" s="5"/>
      <c r="K40" s="5"/>
      <c r="L40" s="5" t="str">
        <f t="shared" si="2"/>
        <v/>
      </c>
      <c r="M40" s="5" t="str">
        <f t="shared" si="3"/>
        <v/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2"/>
      <c r="C41" s="3"/>
      <c r="D41" s="2"/>
      <c r="E41" s="2"/>
      <c r="F41" s="2"/>
      <c r="G41" s="2"/>
      <c r="H41" s="4"/>
      <c r="I41" s="2"/>
      <c r="J41" s="5"/>
      <c r="K41" s="5"/>
      <c r="L41" s="5" t="str">
        <f t="shared" si="2"/>
        <v/>
      </c>
      <c r="M41" s="5" t="str">
        <f t="shared" si="3"/>
        <v/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2"/>
      <c r="C42" s="3"/>
      <c r="D42" s="2"/>
      <c r="E42" s="2"/>
      <c r="F42" s="2"/>
      <c r="G42" s="2"/>
      <c r="H42" s="4"/>
      <c r="I42" s="2"/>
      <c r="J42" s="5"/>
      <c r="K42" s="5"/>
      <c r="L42" s="5" t="str">
        <f t="shared" si="2"/>
        <v/>
      </c>
      <c r="M42" s="5" t="str">
        <f t="shared" si="3"/>
        <v/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2"/>
      <c r="C43" s="3"/>
      <c r="D43" s="2"/>
      <c r="E43" s="2"/>
      <c r="F43" s="2"/>
      <c r="G43" s="2"/>
      <c r="H43" s="4"/>
      <c r="I43" s="2"/>
      <c r="J43" s="5"/>
      <c r="K43" s="5"/>
      <c r="L43" s="5" t="str">
        <f t="shared" si="2"/>
        <v/>
      </c>
      <c r="M43" s="5" t="str">
        <f t="shared" si="3"/>
        <v/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2"/>
      <c r="C44" s="3"/>
      <c r="D44" s="2"/>
      <c r="E44" s="2"/>
      <c r="F44" s="2"/>
      <c r="G44" s="2"/>
      <c r="H44" s="4"/>
      <c r="I44" s="2"/>
      <c r="J44" s="5"/>
      <c r="K44" s="5"/>
      <c r="L44" s="5" t="str">
        <f t="shared" si="2"/>
        <v/>
      </c>
      <c r="M44" s="5" t="str">
        <f t="shared" si="3"/>
        <v/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2"/>
      <c r="C45" s="3"/>
      <c r="D45" s="2"/>
      <c r="E45" s="2"/>
      <c r="F45" s="2"/>
      <c r="G45" s="2"/>
      <c r="H45" s="4"/>
      <c r="I45" s="2"/>
      <c r="J45" s="5"/>
      <c r="K45" s="5"/>
      <c r="L45" s="5" t="str">
        <f t="shared" si="2"/>
        <v/>
      </c>
      <c r="M45" s="5" t="str">
        <f t="shared" si="3"/>
        <v/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2"/>
      <c r="C46" s="3"/>
      <c r="D46" s="2"/>
      <c r="E46" s="2"/>
      <c r="F46" s="2"/>
      <c r="G46" s="2"/>
      <c r="H46" s="4"/>
      <c r="I46" s="2"/>
      <c r="J46" s="5"/>
      <c r="K46" s="5"/>
      <c r="L46" s="5" t="str">
        <f t="shared" si="2"/>
        <v/>
      </c>
      <c r="M46" s="5" t="str">
        <f t="shared" si="3"/>
        <v/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2"/>
      <c r="C47" s="3"/>
      <c r="D47" s="2"/>
      <c r="E47" s="2"/>
      <c r="F47" s="2"/>
      <c r="G47" s="2"/>
      <c r="H47" s="4"/>
      <c r="I47" s="2"/>
      <c r="J47" s="5"/>
      <c r="K47" s="5"/>
      <c r="L47" s="5" t="str">
        <f t="shared" si="2"/>
        <v/>
      </c>
      <c r="M47" s="5" t="str">
        <f t="shared" si="3"/>
        <v/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2"/>
      <c r="C48" s="3"/>
      <c r="D48" s="2"/>
      <c r="E48" s="2"/>
      <c r="F48" s="2"/>
      <c r="G48" s="2"/>
      <c r="H48" s="4"/>
      <c r="I48" s="2"/>
      <c r="J48" s="5"/>
      <c r="K48" s="5"/>
      <c r="L48" s="5" t="str">
        <f t="shared" si="2"/>
        <v/>
      </c>
      <c r="M48" s="5" t="str">
        <f t="shared" si="3"/>
        <v/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2"/>
      <c r="C49" s="3"/>
      <c r="D49" s="2"/>
      <c r="E49" s="2"/>
      <c r="F49" s="2"/>
      <c r="G49" s="2"/>
      <c r="H49" s="4"/>
      <c r="I49" s="2"/>
      <c r="J49" s="5"/>
      <c r="K49" s="5"/>
      <c r="L49" s="5" t="str">
        <f t="shared" si="2"/>
        <v/>
      </c>
      <c r="M49" s="5" t="str">
        <f t="shared" si="3"/>
        <v/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2"/>
      <c r="C50" s="3"/>
      <c r="D50" s="2"/>
      <c r="E50" s="2"/>
      <c r="F50" s="2"/>
      <c r="G50" s="2"/>
      <c r="H50" s="4"/>
      <c r="I50" s="2"/>
      <c r="J50" s="5"/>
      <c r="K50" s="5"/>
      <c r="L50" s="5" t="str">
        <f t="shared" si="2"/>
        <v/>
      </c>
      <c r="M50" s="5" t="str">
        <f t="shared" si="3"/>
        <v/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2"/>
      <c r="C51" s="3"/>
      <c r="D51" s="2"/>
      <c r="E51" s="2"/>
      <c r="F51" s="2"/>
      <c r="G51" s="2"/>
      <c r="H51" s="4"/>
      <c r="I51" s="2"/>
      <c r="J51" s="5"/>
      <c r="K51" s="5"/>
      <c r="L51" s="5" t="str">
        <f t="shared" si="2"/>
        <v/>
      </c>
      <c r="M51" s="5" t="str">
        <f t="shared" si="3"/>
        <v/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2"/>
      <c r="C52" s="3"/>
      <c r="D52" s="2"/>
      <c r="E52" s="2"/>
      <c r="F52" s="2"/>
      <c r="G52" s="2"/>
      <c r="H52" s="4"/>
      <c r="I52" s="2"/>
      <c r="J52" s="5"/>
      <c r="K52" s="5"/>
      <c r="L52" s="5" t="str">
        <f t="shared" si="2"/>
        <v/>
      </c>
      <c r="M52" s="5" t="str">
        <f t="shared" si="3"/>
        <v/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2"/>
      <c r="C53" s="3"/>
      <c r="D53" s="2"/>
      <c r="E53" s="2"/>
      <c r="F53" s="2"/>
      <c r="G53" s="2"/>
      <c r="H53" s="4"/>
      <c r="I53" s="2"/>
      <c r="J53" s="5"/>
      <c r="K53" s="5"/>
      <c r="L53" s="5" t="str">
        <f t="shared" si="2"/>
        <v/>
      </c>
      <c r="M53" s="5" t="str">
        <f t="shared" si="3"/>
        <v/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2"/>
      <c r="C54" s="3"/>
      <c r="D54" s="2"/>
      <c r="E54" s="2"/>
      <c r="F54" s="2"/>
      <c r="G54" s="2"/>
      <c r="H54" s="4"/>
      <c r="I54" s="2"/>
      <c r="J54" s="5"/>
      <c r="K54" s="5"/>
      <c r="L54" s="5" t="str">
        <f t="shared" si="2"/>
        <v/>
      </c>
      <c r="M54" s="5" t="str">
        <f t="shared" si="3"/>
        <v/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2"/>
      <c r="C55" s="3"/>
      <c r="D55" s="2"/>
      <c r="E55" s="2"/>
      <c r="F55" s="2"/>
      <c r="G55" s="2"/>
      <c r="H55" s="4"/>
      <c r="I55" s="2"/>
      <c r="J55" s="5"/>
      <c r="K55" s="5"/>
      <c r="L55" s="5" t="str">
        <f t="shared" si="2"/>
        <v/>
      </c>
      <c r="M55" s="5" t="str">
        <f t="shared" si="3"/>
        <v/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2"/>
      <c r="C56" s="3"/>
      <c r="D56" s="2"/>
      <c r="E56" s="2"/>
      <c r="F56" s="2"/>
      <c r="G56" s="2"/>
      <c r="H56" s="4"/>
      <c r="I56" s="2"/>
      <c r="J56" s="5"/>
      <c r="K56" s="5"/>
      <c r="L56" s="5" t="str">
        <f t="shared" si="2"/>
        <v/>
      </c>
      <c r="M56" s="5" t="str">
        <f t="shared" si="3"/>
        <v/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2"/>
      <c r="C57" s="3"/>
      <c r="D57" s="2"/>
      <c r="E57" s="2"/>
      <c r="F57" s="2"/>
      <c r="G57" s="2"/>
      <c r="H57" s="4"/>
      <c r="I57" s="2"/>
      <c r="J57" s="5"/>
      <c r="K57" s="5"/>
      <c r="L57" s="5" t="str">
        <f t="shared" si="2"/>
        <v/>
      </c>
      <c r="M57" s="5" t="str">
        <f t="shared" si="3"/>
        <v/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2"/>
      <c r="C58" s="3"/>
      <c r="D58" s="2"/>
      <c r="E58" s="2"/>
      <c r="F58" s="2"/>
      <c r="G58" s="2"/>
      <c r="H58" s="4"/>
      <c r="I58" s="2"/>
      <c r="J58" s="5"/>
      <c r="K58" s="5"/>
      <c r="L58" s="5" t="str">
        <f t="shared" si="2"/>
        <v/>
      </c>
      <c r="M58" s="5" t="str">
        <f t="shared" si="3"/>
        <v/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2"/>
      <c r="C59" s="3"/>
      <c r="D59" s="2"/>
      <c r="E59" s="2"/>
      <c r="F59" s="2"/>
      <c r="G59" s="2"/>
      <c r="H59" s="4"/>
      <c r="I59" s="2"/>
      <c r="J59" s="5"/>
      <c r="K59" s="5"/>
      <c r="L59" s="5" t="str">
        <f t="shared" si="2"/>
        <v/>
      </c>
      <c r="M59" s="5" t="str">
        <f t="shared" si="3"/>
        <v/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2"/>
      <c r="C60" s="3"/>
      <c r="D60" s="2"/>
      <c r="E60" s="2"/>
      <c r="F60" s="2"/>
      <c r="G60" s="2"/>
      <c r="H60" s="4"/>
      <c r="I60" s="2"/>
      <c r="J60" s="5"/>
      <c r="K60" s="5"/>
      <c r="L60" s="5" t="str">
        <f t="shared" si="2"/>
        <v/>
      </c>
      <c r="M60" s="5" t="str">
        <f t="shared" si="3"/>
        <v/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2"/>
      <c r="C61" s="3"/>
      <c r="D61" s="2"/>
      <c r="E61" s="2"/>
      <c r="F61" s="2"/>
      <c r="G61" s="2"/>
      <c r="H61" s="4"/>
      <c r="I61" s="2"/>
      <c r="J61" s="5"/>
      <c r="K61" s="5"/>
      <c r="L61" s="5" t="str">
        <f t="shared" si="2"/>
        <v/>
      </c>
      <c r="M61" s="5" t="str">
        <f t="shared" si="3"/>
        <v/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2"/>
      <c r="C62" s="3"/>
      <c r="D62" s="2"/>
      <c r="E62" s="2"/>
      <c r="F62" s="2"/>
      <c r="G62" s="2"/>
      <c r="H62" s="4"/>
      <c r="I62" s="2"/>
      <c r="J62" s="5"/>
      <c r="K62" s="5"/>
      <c r="L62" s="5" t="str">
        <f t="shared" si="2"/>
        <v/>
      </c>
      <c r="M62" s="5" t="str">
        <f t="shared" si="3"/>
        <v/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2"/>
      <c r="C63" s="3"/>
      <c r="D63" s="2"/>
      <c r="E63" s="2"/>
      <c r="F63" s="2"/>
      <c r="G63" s="2"/>
      <c r="H63" s="4"/>
      <c r="I63" s="2"/>
      <c r="J63" s="5"/>
      <c r="K63" s="5"/>
      <c r="L63" s="5" t="str">
        <f t="shared" si="2"/>
        <v/>
      </c>
      <c r="M63" s="5" t="str">
        <f t="shared" si="3"/>
        <v/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2"/>
      <c r="C64" s="3"/>
      <c r="D64" s="2"/>
      <c r="E64" s="2"/>
      <c r="F64" s="2"/>
      <c r="G64" s="2"/>
      <c r="H64" s="4"/>
      <c r="I64" s="2"/>
      <c r="J64" s="5"/>
      <c r="K64" s="5"/>
      <c r="L64" s="5" t="str">
        <f t="shared" si="2"/>
        <v/>
      </c>
      <c r="M64" s="5" t="str">
        <f t="shared" si="3"/>
        <v/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2"/>
      <c r="C65" s="3"/>
      <c r="D65" s="2"/>
      <c r="E65" s="2"/>
      <c r="F65" s="2"/>
      <c r="G65" s="2"/>
      <c r="H65" s="4"/>
      <c r="I65" s="2"/>
      <c r="J65" s="5"/>
      <c r="K65" s="5"/>
      <c r="L65" s="5" t="str">
        <f t="shared" si="2"/>
        <v/>
      </c>
      <c r="M65" s="5" t="str">
        <f t="shared" si="3"/>
        <v/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2"/>
      <c r="C66" s="3"/>
      <c r="D66" s="2"/>
      <c r="E66" s="2"/>
      <c r="F66" s="2"/>
      <c r="G66" s="2"/>
      <c r="H66" s="4"/>
      <c r="I66" s="2"/>
      <c r="J66" s="5"/>
      <c r="K66" s="5"/>
      <c r="L66" s="5" t="str">
        <f t="shared" ref="L66:L84" si="4">IF(J66="","",J66-K66)</f>
        <v/>
      </c>
      <c r="M66" s="5" t="str">
        <f t="shared" ref="M66:M84" si="5">IFERROR(IF(AND(L66&lt;&gt;"",H66&lt;&gt;"",H66&gt;0),L66/H66,""),"")</f>
        <v/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2"/>
      <c r="C67" s="3"/>
      <c r="D67" s="2"/>
      <c r="E67" s="2"/>
      <c r="F67" s="2"/>
      <c r="G67" s="2"/>
      <c r="H67" s="4"/>
      <c r="I67" s="2"/>
      <c r="J67" s="5"/>
      <c r="K67" s="5"/>
      <c r="L67" s="5" t="str">
        <f t="shared" si="4"/>
        <v/>
      </c>
      <c r="M67" s="5" t="str">
        <f t="shared" si="5"/>
        <v/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2"/>
      <c r="C68" s="3"/>
      <c r="D68" s="2"/>
      <c r="E68" s="2"/>
      <c r="F68" s="2"/>
      <c r="G68" s="2"/>
      <c r="H68" s="4"/>
      <c r="I68" s="2"/>
      <c r="J68" s="5"/>
      <c r="K68" s="5"/>
      <c r="L68" s="5" t="str">
        <f t="shared" si="4"/>
        <v/>
      </c>
      <c r="M68" s="5" t="str">
        <f t="shared" si="5"/>
        <v/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2"/>
      <c r="C69" s="3"/>
      <c r="D69" s="2"/>
      <c r="E69" s="2"/>
      <c r="F69" s="2"/>
      <c r="G69" s="2"/>
      <c r="H69" s="4"/>
      <c r="I69" s="2"/>
      <c r="J69" s="5"/>
      <c r="K69" s="5"/>
      <c r="L69" s="5" t="str">
        <f t="shared" si="4"/>
        <v/>
      </c>
      <c r="M69" s="5" t="str">
        <f t="shared" si="5"/>
        <v/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2"/>
      <c r="C70" s="3"/>
      <c r="D70" s="2"/>
      <c r="E70" s="2"/>
      <c r="F70" s="2"/>
      <c r="G70" s="2"/>
      <c r="H70" s="4"/>
      <c r="I70" s="2"/>
      <c r="J70" s="5"/>
      <c r="K70" s="5"/>
      <c r="L70" s="5" t="str">
        <f t="shared" si="4"/>
        <v/>
      </c>
      <c r="M70" s="5" t="str">
        <f t="shared" si="5"/>
        <v/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2"/>
      <c r="C71" s="3"/>
      <c r="D71" s="2"/>
      <c r="E71" s="2"/>
      <c r="F71" s="2"/>
      <c r="G71" s="2"/>
      <c r="H71" s="4"/>
      <c r="I71" s="2"/>
      <c r="J71" s="5"/>
      <c r="K71" s="5"/>
      <c r="L71" s="5" t="str">
        <f t="shared" si="4"/>
        <v/>
      </c>
      <c r="M71" s="5" t="str">
        <f t="shared" si="5"/>
        <v/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2"/>
      <c r="C72" s="3"/>
      <c r="D72" s="2"/>
      <c r="E72" s="2"/>
      <c r="F72" s="2"/>
      <c r="G72" s="2"/>
      <c r="H72" s="4"/>
      <c r="I72" s="2"/>
      <c r="J72" s="5"/>
      <c r="K72" s="5"/>
      <c r="L72" s="5" t="str">
        <f t="shared" si="4"/>
        <v/>
      </c>
      <c r="M72" s="5" t="str">
        <f t="shared" si="5"/>
        <v/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2"/>
      <c r="C73" s="3"/>
      <c r="D73" s="2"/>
      <c r="E73" s="2"/>
      <c r="F73" s="2"/>
      <c r="G73" s="2"/>
      <c r="H73" s="4"/>
      <c r="I73" s="2"/>
      <c r="J73" s="5"/>
      <c r="K73" s="5"/>
      <c r="L73" s="5" t="str">
        <f t="shared" si="4"/>
        <v/>
      </c>
      <c r="M73" s="5" t="str">
        <f t="shared" si="5"/>
        <v/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2"/>
      <c r="C74" s="3"/>
      <c r="D74" s="2"/>
      <c r="E74" s="2"/>
      <c r="F74" s="2"/>
      <c r="G74" s="2"/>
      <c r="H74" s="4"/>
      <c r="I74" s="2"/>
      <c r="J74" s="5"/>
      <c r="K74" s="5"/>
      <c r="L74" s="5" t="str">
        <f t="shared" si="4"/>
        <v/>
      </c>
      <c r="M74" s="5" t="str">
        <f t="shared" si="5"/>
        <v/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2"/>
      <c r="C75" s="3"/>
      <c r="D75" s="2"/>
      <c r="E75" s="2"/>
      <c r="F75" s="2"/>
      <c r="G75" s="2"/>
      <c r="H75" s="4"/>
      <c r="I75" s="2"/>
      <c r="J75" s="5"/>
      <c r="K75" s="5"/>
      <c r="L75" s="5" t="str">
        <f t="shared" si="4"/>
        <v/>
      </c>
      <c r="M75" s="5" t="str">
        <f t="shared" si="5"/>
        <v/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2"/>
      <c r="C76" s="3"/>
      <c r="D76" s="2"/>
      <c r="E76" s="2"/>
      <c r="F76" s="2"/>
      <c r="G76" s="2"/>
      <c r="H76" s="4"/>
      <c r="I76" s="2"/>
      <c r="J76" s="5"/>
      <c r="K76" s="5"/>
      <c r="L76" s="5" t="str">
        <f t="shared" si="4"/>
        <v/>
      </c>
      <c r="M76" s="5" t="str">
        <f t="shared" si="5"/>
        <v/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2"/>
      <c r="C77" s="3"/>
      <c r="D77" s="2"/>
      <c r="E77" s="2"/>
      <c r="F77" s="2"/>
      <c r="G77" s="2"/>
      <c r="H77" s="4"/>
      <c r="I77" s="2"/>
      <c r="J77" s="5"/>
      <c r="K77" s="5"/>
      <c r="L77" s="5" t="str">
        <f t="shared" si="4"/>
        <v/>
      </c>
      <c r="M77" s="5" t="str">
        <f t="shared" si="5"/>
        <v/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2"/>
      <c r="C78" s="3"/>
      <c r="D78" s="2"/>
      <c r="E78" s="2"/>
      <c r="F78" s="2"/>
      <c r="G78" s="2"/>
      <c r="H78" s="4"/>
      <c r="I78" s="2"/>
      <c r="J78" s="5"/>
      <c r="K78" s="5"/>
      <c r="L78" s="5" t="str">
        <f t="shared" si="4"/>
        <v/>
      </c>
      <c r="M78" s="5" t="str">
        <f t="shared" si="5"/>
        <v/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2"/>
      <c r="C79" s="3"/>
      <c r="D79" s="2"/>
      <c r="E79" s="2"/>
      <c r="F79" s="2"/>
      <c r="G79" s="2"/>
      <c r="H79" s="4"/>
      <c r="I79" s="2"/>
      <c r="J79" s="5"/>
      <c r="K79" s="5"/>
      <c r="L79" s="5" t="str">
        <f t="shared" si="4"/>
        <v/>
      </c>
      <c r="M79" s="5" t="str">
        <f t="shared" si="5"/>
        <v/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2"/>
      <c r="C80" s="3"/>
      <c r="D80" s="2"/>
      <c r="E80" s="2"/>
      <c r="F80" s="2"/>
      <c r="G80" s="2"/>
      <c r="H80" s="4"/>
      <c r="I80" s="2"/>
      <c r="J80" s="5"/>
      <c r="K80" s="5"/>
      <c r="L80" s="5" t="str">
        <f t="shared" si="4"/>
        <v/>
      </c>
      <c r="M80" s="5" t="str">
        <f t="shared" si="5"/>
        <v/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2"/>
      <c r="C81" s="3"/>
      <c r="D81" s="2"/>
      <c r="E81" s="2"/>
      <c r="F81" s="2"/>
      <c r="G81" s="2"/>
      <c r="H81" s="4"/>
      <c r="I81" s="2"/>
      <c r="J81" s="5"/>
      <c r="K81" s="5"/>
      <c r="L81" s="5" t="str">
        <f t="shared" si="4"/>
        <v/>
      </c>
      <c r="M81" s="5" t="str">
        <f t="shared" si="5"/>
        <v/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2"/>
      <c r="C82" s="3"/>
      <c r="D82" s="2"/>
      <c r="E82" s="2"/>
      <c r="F82" s="2"/>
      <c r="G82" s="2"/>
      <c r="H82" s="4"/>
      <c r="I82" s="2"/>
      <c r="J82" s="5"/>
      <c r="K82" s="5"/>
      <c r="L82" s="5" t="str">
        <f t="shared" si="4"/>
        <v/>
      </c>
      <c r="M82" s="5" t="str">
        <f t="shared" si="5"/>
        <v/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2"/>
      <c r="C83" s="3"/>
      <c r="D83" s="2"/>
      <c r="E83" s="2"/>
      <c r="F83" s="2"/>
      <c r="G83" s="2"/>
      <c r="H83" s="4"/>
      <c r="I83" s="2"/>
      <c r="J83" s="5"/>
      <c r="K83" s="5"/>
      <c r="L83" s="5" t="str">
        <f t="shared" si="4"/>
        <v/>
      </c>
      <c r="M83" s="5" t="str">
        <f t="shared" si="5"/>
        <v/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2"/>
      <c r="C84" s="3"/>
      <c r="D84" s="2"/>
      <c r="E84" s="2"/>
      <c r="F84" s="2"/>
      <c r="G84" s="2"/>
      <c r="H84" s="4"/>
      <c r="I84" s="2"/>
      <c r="J84" s="5"/>
      <c r="K84" s="5"/>
      <c r="L84" s="5" t="str">
        <f t="shared" si="4"/>
        <v/>
      </c>
      <c r="M84" s="5" t="str">
        <f t="shared" si="5"/>
        <v/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conditionalFormatting sqref="M2:M8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{14CD4B7E-46C7-1221-3F76-5FE1FD9B0500}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D4B7E-46C7-1221-3F76-5FE1FD9B0500}">
            <x14:dataBar>
              <x14:cfvo type="min"/>
              <x14:cfvo type="max"/>
              <x14:negativeFillColor auto="1"/>
              <x14:axisColor auto="1"/>
            </x14:dataBar>
          </x14:cfRule>
          <xm:sqref>M2:M84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0"/>
  <sheetViews>
    <sheetView workbookViewId="0"/>
  </sheetViews>
  <sheetFormatPr defaultRowHeight="14.6" x14ac:dyDescent="0.4"/>
  <cols>
    <col min="1" max="2" width="12" customWidth="1"/>
    <col min="3" max="3" width="20" customWidth="1"/>
    <col min="4" max="6" width="15" customWidth="1"/>
    <col min="7" max="7" width="10" customWidth="1"/>
    <col min="8" max="8" width="15" customWidth="1"/>
    <col min="9" max="9" width="40" customWidth="1"/>
  </cols>
  <sheetData>
    <row r="1" spans="1:26" x14ac:dyDescent="0.4">
      <c r="A1" s="1" t="s">
        <v>30</v>
      </c>
      <c r="B1" s="1" t="s">
        <v>31</v>
      </c>
      <c r="C1" s="1" t="s">
        <v>16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4">
      <c r="A2" s="2" t="s">
        <v>93</v>
      </c>
      <c r="B2" s="7">
        <v>46270</v>
      </c>
      <c r="C2" s="2" t="s">
        <v>94</v>
      </c>
      <c r="D2" s="8">
        <v>12.84</v>
      </c>
      <c r="E2" s="8">
        <v>1.2</v>
      </c>
      <c r="F2" s="8">
        <v>11.64</v>
      </c>
      <c r="G2" s="2">
        <v>5</v>
      </c>
      <c r="H2" s="2" t="s">
        <v>135</v>
      </c>
      <c r="I2" s="2" t="s">
        <v>136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">
      <c r="A3" s="2" t="s">
        <v>111</v>
      </c>
      <c r="B3" s="7">
        <v>46277</v>
      </c>
      <c r="C3" s="2" t="s">
        <v>112</v>
      </c>
      <c r="D3" s="8">
        <v>9.75</v>
      </c>
      <c r="E3" s="8">
        <v>0.75</v>
      </c>
      <c r="F3" s="8">
        <v>9</v>
      </c>
      <c r="G3" s="2">
        <v>4</v>
      </c>
      <c r="H3" s="2" t="s">
        <v>135</v>
      </c>
      <c r="I3" s="2" t="s">
        <v>136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">
      <c r="A4" s="2" t="s">
        <v>123</v>
      </c>
      <c r="B4" s="7">
        <v>46283</v>
      </c>
      <c r="C4" s="2" t="s">
        <v>124</v>
      </c>
      <c r="D4" s="8">
        <v>14.3</v>
      </c>
      <c r="E4" s="8">
        <v>1.1000000000000001</v>
      </c>
      <c r="F4" s="8">
        <v>13.2</v>
      </c>
      <c r="G4" s="2">
        <v>5</v>
      </c>
      <c r="H4" s="2" t="s">
        <v>137</v>
      </c>
      <c r="I4" s="2" t="s">
        <v>136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4">
      <c r="A5" s="2"/>
      <c r="B5" s="3"/>
      <c r="C5" s="2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4">
      <c r="A6" s="2"/>
      <c r="B6" s="3"/>
      <c r="C6" s="2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">
      <c r="A7" s="2"/>
      <c r="B7" s="3"/>
      <c r="C7" s="2"/>
      <c r="D7" s="5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4">
      <c r="A8" s="2"/>
      <c r="B8" s="3"/>
      <c r="C8" s="2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">
      <c r="A9" s="2"/>
      <c r="B9" s="3"/>
      <c r="C9" s="2"/>
      <c r="D9" s="5"/>
      <c r="E9" s="5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">
      <c r="A10" s="2"/>
      <c r="B10" s="3"/>
      <c r="C10" s="2"/>
      <c r="D10" s="5"/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">
      <c r="A11" s="2"/>
      <c r="B11" s="3"/>
      <c r="C11" s="2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">
      <c r="A12" s="2"/>
      <c r="B12" s="3"/>
      <c r="C12" s="2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">
      <c r="A13" s="2"/>
      <c r="B13" s="3"/>
      <c r="C13" s="2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">
      <c r="A14" s="2"/>
      <c r="B14" s="3"/>
      <c r="C14" s="2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">
      <c r="A15" s="2"/>
      <c r="B15" s="3"/>
      <c r="C15" s="2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">
      <c r="A16" s="2"/>
      <c r="B16" s="3"/>
      <c r="C16" s="2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">
      <c r="A17" s="2"/>
      <c r="B17" s="3"/>
      <c r="C17" s="2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">
      <c r="A18" s="2"/>
      <c r="B18" s="3"/>
      <c r="C18" s="2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">
      <c r="A19" s="2"/>
      <c r="B19" s="3"/>
      <c r="C19" s="2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">
      <c r="A20" s="2"/>
      <c r="B20" s="3"/>
      <c r="C20" s="2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">
      <c r="A21" s="2"/>
      <c r="B21" s="3"/>
      <c r="C21" s="2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">
      <c r="A22" s="2"/>
      <c r="B22" s="3"/>
      <c r="C22" s="2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">
      <c r="A23" s="2"/>
      <c r="B23" s="3"/>
      <c r="C23" s="2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">
      <c r="A24" s="2"/>
      <c r="B24" s="3"/>
      <c r="C24" s="2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3"/>
      <c r="C25" s="2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3"/>
      <c r="C26" s="2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3"/>
      <c r="C27" s="2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3"/>
      <c r="C28" s="2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">
      <c r="A29" s="2"/>
      <c r="B29" s="3"/>
      <c r="C29" s="2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">
      <c r="A30" s="2"/>
      <c r="B30" s="3"/>
      <c r="C30" s="2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">
      <c r="A31" s="2"/>
      <c r="B31" s="3"/>
      <c r="C31" s="2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">
      <c r="A32" s="2"/>
      <c r="B32" s="3"/>
      <c r="C32" s="2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">
      <c r="A33" s="2"/>
      <c r="B33" s="3"/>
      <c r="C33" s="2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">
      <c r="A34" s="2"/>
      <c r="B34" s="3"/>
      <c r="C34" s="2"/>
      <c r="D34" s="5"/>
      <c r="E34" s="5"/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">
      <c r="A35" s="2"/>
      <c r="B35" s="3"/>
      <c r="C35" s="2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">
      <c r="A36" s="2"/>
      <c r="B36" s="3"/>
      <c r="C36" s="2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">
      <c r="A37" s="2"/>
      <c r="B37" s="3"/>
      <c r="C37" s="2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2"/>
      <c r="B38" s="3"/>
      <c r="C38" s="2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3"/>
      <c r="C39" s="2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2"/>
      <c r="B40" s="3"/>
      <c r="C40" s="2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3"/>
      <c r="C41" s="2"/>
      <c r="D41" s="5"/>
      <c r="E41" s="5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3"/>
      <c r="C42" s="2"/>
      <c r="D42" s="5"/>
      <c r="E42" s="5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3"/>
      <c r="C43" s="2"/>
      <c r="D43" s="5"/>
      <c r="E43" s="5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3"/>
      <c r="C44" s="2"/>
      <c r="D44" s="5"/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3"/>
      <c r="C45" s="2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3"/>
      <c r="C46" s="2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3"/>
      <c r="C47" s="2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3"/>
      <c r="C48" s="2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3"/>
      <c r="C49" s="2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3"/>
      <c r="C50" s="2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3"/>
      <c r="C51" s="2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3"/>
      <c r="C52" s="2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3"/>
      <c r="C53" s="2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3"/>
      <c r="C54" s="2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3"/>
      <c r="C55" s="2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3"/>
      <c r="C56" s="2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3"/>
      <c r="C57" s="2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3"/>
      <c r="C58" s="2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3"/>
      <c r="C59" s="2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3"/>
      <c r="C60" s="2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3"/>
      <c r="C61" s="2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3"/>
      <c r="C62" s="2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3"/>
      <c r="C63" s="2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3"/>
      <c r="C64" s="2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3"/>
      <c r="C65" s="2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3"/>
      <c r="C66" s="2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3"/>
      <c r="C67" s="2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3"/>
      <c r="C68" s="2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3"/>
      <c r="C69" s="2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3"/>
      <c r="C70" s="2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3"/>
      <c r="C71" s="2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3"/>
      <c r="C72" s="2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3"/>
      <c r="C73" s="2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3"/>
      <c r="C74" s="2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3"/>
      <c r="C75" s="2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3"/>
      <c r="C76" s="2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3"/>
      <c r="C77" s="2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3"/>
      <c r="C78" s="2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3"/>
      <c r="C79" s="2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3"/>
      <c r="C80" s="2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3"/>
      <c r="C81" s="2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3"/>
      <c r="C82" s="2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3"/>
      <c r="C83" s="2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3"/>
      <c r="C84" s="2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3"/>
      <c r="C85" s="2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3"/>
      <c r="C86" s="2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3"/>
      <c r="C87" s="2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3"/>
      <c r="C88" s="2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3"/>
      <c r="C89" s="2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3"/>
      <c r="C90" s="2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3"/>
      <c r="C91" s="2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3"/>
      <c r="C92" s="2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3"/>
      <c r="C93" s="2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3"/>
      <c r="C94" s="2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3"/>
      <c r="C95" s="2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3"/>
      <c r="C96" s="2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3"/>
      <c r="C97" s="2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3"/>
      <c r="C98" s="2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3"/>
      <c r="C99" s="2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3"/>
      <c r="C100" s="2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3"/>
      <c r="C101" s="2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3"/>
      <c r="C102" s="2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3"/>
      <c r="C103" s="2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3"/>
      <c r="C104" s="2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3"/>
      <c r="C105" s="2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3"/>
      <c r="C106" s="2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3"/>
      <c r="C107" s="2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3"/>
      <c r="C108" s="2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3"/>
      <c r="C109" s="2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3"/>
      <c r="C110" s="2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3"/>
      <c r="C111" s="2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3"/>
      <c r="C112" s="2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3"/>
      <c r="C113" s="2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3"/>
      <c r="C114" s="2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3"/>
      <c r="C115" s="2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3"/>
      <c r="C116" s="2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3"/>
      <c r="C117" s="2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3"/>
      <c r="C118" s="2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3"/>
      <c r="C119" s="2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3"/>
      <c r="C120" s="2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3"/>
      <c r="C121" s="2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3"/>
      <c r="C122" s="2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3"/>
      <c r="C123" s="2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3"/>
      <c r="C124" s="2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3"/>
      <c r="C125" s="2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3"/>
      <c r="C126" s="2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3"/>
      <c r="C127" s="2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3"/>
      <c r="C128" s="2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3"/>
      <c r="C129" s="2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3"/>
      <c r="C130" s="2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3"/>
      <c r="C131" s="2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3"/>
      <c r="C132" s="2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3"/>
      <c r="C133" s="2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3"/>
      <c r="C134" s="2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3"/>
      <c r="C135" s="2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3"/>
      <c r="C136" s="2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3"/>
      <c r="C137" s="2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3"/>
      <c r="C138" s="2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3"/>
      <c r="C139" s="2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3"/>
      <c r="C140" s="2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3"/>
      <c r="C141" s="2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3"/>
      <c r="C142" s="2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3"/>
      <c r="C143" s="2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3"/>
      <c r="C144" s="2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3"/>
      <c r="C145" s="2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3"/>
      <c r="C146" s="2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3"/>
      <c r="C147" s="2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3"/>
      <c r="C148" s="2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3"/>
      <c r="C149" s="2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3"/>
      <c r="C150" s="2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3"/>
      <c r="C151" s="2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3"/>
      <c r="C152" s="2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3"/>
      <c r="C153" s="2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3"/>
      <c r="C154" s="2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3"/>
      <c r="C155" s="2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3"/>
      <c r="C156" s="2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3"/>
      <c r="C157" s="2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3"/>
      <c r="C158" s="2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3"/>
      <c r="C159" s="2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3"/>
      <c r="C160" s="2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3"/>
      <c r="C161" s="2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3"/>
      <c r="C162" s="2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3"/>
      <c r="C163" s="2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3"/>
      <c r="C164" s="2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3"/>
      <c r="C165" s="2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3"/>
      <c r="C166" s="2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3"/>
      <c r="C167" s="2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3"/>
      <c r="C168" s="2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3"/>
      <c r="C169" s="2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3"/>
      <c r="C170" s="2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3"/>
      <c r="C171" s="2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3"/>
      <c r="C172" s="2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3"/>
      <c r="C173" s="2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3"/>
      <c r="C174" s="2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3"/>
      <c r="C175" s="2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3"/>
      <c r="C176" s="2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3"/>
      <c r="C177" s="2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3"/>
      <c r="C178" s="2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3"/>
      <c r="C179" s="2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3"/>
      <c r="C180" s="2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3"/>
      <c r="C181" s="2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3"/>
      <c r="C182" s="2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3"/>
      <c r="C183" s="2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3"/>
      <c r="C184" s="2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3"/>
      <c r="C185" s="2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3"/>
      <c r="C186" s="2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3"/>
      <c r="C187" s="2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3"/>
      <c r="C188" s="2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3"/>
      <c r="C189" s="2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3"/>
      <c r="C190" s="2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3"/>
      <c r="C191" s="2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3"/>
      <c r="C192" s="2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3"/>
      <c r="C193" s="2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3"/>
      <c r="C194" s="2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3"/>
      <c r="C195" s="2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3"/>
      <c r="C196" s="2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3"/>
      <c r="C197" s="2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3"/>
      <c r="C198" s="2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3"/>
      <c r="C199" s="2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3"/>
      <c r="C200" s="2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3"/>
      <c r="C201" s="2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3"/>
      <c r="C202" s="2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3"/>
      <c r="C203" s="2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3"/>
      <c r="C204" s="2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3"/>
      <c r="C205" s="2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3"/>
      <c r="C206" s="2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3"/>
      <c r="C207" s="2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3"/>
      <c r="C208" s="2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3"/>
      <c r="C209" s="2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3"/>
      <c r="C210" s="2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3"/>
      <c r="C211" s="2"/>
      <c r="D211" s="5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3"/>
      <c r="C212" s="2"/>
      <c r="D212" s="5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3"/>
      <c r="C213" s="2"/>
      <c r="D213" s="5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3"/>
      <c r="C214" s="2"/>
      <c r="D214" s="5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3"/>
      <c r="C215" s="2"/>
      <c r="D215" s="5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3"/>
      <c r="C216" s="2"/>
      <c r="D216" s="5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3"/>
      <c r="C217" s="2"/>
      <c r="D217" s="5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3"/>
      <c r="C218" s="2"/>
      <c r="D218" s="5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3"/>
      <c r="C219" s="2"/>
      <c r="D219" s="5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3"/>
      <c r="C220" s="2"/>
      <c r="D220" s="5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3"/>
      <c r="C221" s="2"/>
      <c r="D221" s="5"/>
      <c r="E221" s="5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3"/>
      <c r="C222" s="2"/>
      <c r="D222" s="5"/>
      <c r="E222" s="5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3"/>
      <c r="C223" s="2"/>
      <c r="D223" s="5"/>
      <c r="E223" s="5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3"/>
      <c r="C224" s="2"/>
      <c r="D224" s="5"/>
      <c r="E224" s="5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3"/>
      <c r="C225" s="2"/>
      <c r="D225" s="5"/>
      <c r="E225" s="5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3"/>
      <c r="C226" s="2"/>
      <c r="D226" s="5"/>
      <c r="E226" s="5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3"/>
      <c r="C227" s="2"/>
      <c r="D227" s="5"/>
      <c r="E227" s="5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3"/>
      <c r="C228" s="2"/>
      <c r="D228" s="5"/>
      <c r="E228" s="5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3"/>
      <c r="C229" s="2"/>
      <c r="D229" s="5"/>
      <c r="E229" s="5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3"/>
      <c r="C230" s="2"/>
      <c r="D230" s="5"/>
      <c r="E230" s="5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3"/>
      <c r="C231" s="2"/>
      <c r="D231" s="5"/>
      <c r="E231" s="5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3"/>
      <c r="C232" s="2"/>
      <c r="D232" s="5"/>
      <c r="E232" s="5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3"/>
      <c r="C233" s="2"/>
      <c r="D233" s="5"/>
      <c r="E233" s="5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3"/>
      <c r="C234" s="2"/>
      <c r="D234" s="5"/>
      <c r="E234" s="5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3"/>
      <c r="C235" s="2"/>
      <c r="D235" s="5"/>
      <c r="E235" s="5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3"/>
      <c r="C236" s="2"/>
      <c r="D236" s="5"/>
      <c r="E236" s="5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3"/>
      <c r="C237" s="2"/>
      <c r="D237" s="5"/>
      <c r="E237" s="5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3"/>
      <c r="C238" s="2"/>
      <c r="D238" s="5"/>
      <c r="E238" s="5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3"/>
      <c r="C239" s="2"/>
      <c r="D239" s="5"/>
      <c r="E239" s="5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3"/>
      <c r="C240" s="2"/>
      <c r="D240" s="5"/>
      <c r="E240" s="5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3"/>
      <c r="C241" s="2"/>
      <c r="D241" s="5"/>
      <c r="E241" s="5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3"/>
      <c r="C242" s="2"/>
      <c r="D242" s="5"/>
      <c r="E242" s="5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3"/>
      <c r="C243" s="2"/>
      <c r="D243" s="5"/>
      <c r="E243" s="5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3"/>
      <c r="C244" s="2"/>
      <c r="D244" s="5"/>
      <c r="E244" s="5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3"/>
      <c r="C245" s="2"/>
      <c r="D245" s="5"/>
      <c r="E245" s="5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3"/>
      <c r="C246" s="2"/>
      <c r="D246" s="5"/>
      <c r="E246" s="5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3"/>
      <c r="C247" s="2"/>
      <c r="D247" s="5"/>
      <c r="E247" s="5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3"/>
      <c r="C248" s="2"/>
      <c r="D248" s="5"/>
      <c r="E248" s="5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3"/>
      <c r="C249" s="2"/>
      <c r="D249" s="5"/>
      <c r="E249" s="5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3"/>
      <c r="C250" s="2"/>
      <c r="D250" s="5"/>
      <c r="E250" s="5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3"/>
      <c r="C251" s="2"/>
      <c r="D251" s="5"/>
      <c r="E251" s="5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3"/>
      <c r="C252" s="2"/>
      <c r="D252" s="5"/>
      <c r="E252" s="5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3"/>
      <c r="C253" s="2"/>
      <c r="D253" s="5"/>
      <c r="E253" s="5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3"/>
      <c r="C254" s="2"/>
      <c r="D254" s="5"/>
      <c r="E254" s="5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3"/>
      <c r="C255" s="2"/>
      <c r="D255" s="5"/>
      <c r="E255" s="5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3"/>
      <c r="C256" s="2"/>
      <c r="D256" s="5"/>
      <c r="E256" s="5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3"/>
      <c r="C257" s="2"/>
      <c r="D257" s="5"/>
      <c r="E257" s="5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3"/>
      <c r="C258" s="2"/>
      <c r="D258" s="5"/>
      <c r="E258" s="5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3"/>
      <c r="C259" s="2"/>
      <c r="D259" s="5"/>
      <c r="E259" s="5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3"/>
      <c r="C260" s="2"/>
      <c r="D260" s="5"/>
      <c r="E260" s="5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3"/>
      <c r="C261" s="2"/>
      <c r="D261" s="5"/>
      <c r="E261" s="5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3"/>
      <c r="C262" s="2"/>
      <c r="D262" s="5"/>
      <c r="E262" s="5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3"/>
      <c r="C263" s="2"/>
      <c r="D263" s="5"/>
      <c r="E263" s="5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3"/>
      <c r="C264" s="2"/>
      <c r="D264" s="5"/>
      <c r="E264" s="5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3"/>
      <c r="C265" s="2"/>
      <c r="D265" s="5"/>
      <c r="E265" s="5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3"/>
      <c r="C266" s="2"/>
      <c r="D266" s="5"/>
      <c r="E266" s="5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3"/>
      <c r="C267" s="2"/>
      <c r="D267" s="5"/>
      <c r="E267" s="5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3"/>
      <c r="C268" s="2"/>
      <c r="D268" s="5"/>
      <c r="E268" s="5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3"/>
      <c r="C269" s="2"/>
      <c r="D269" s="5"/>
      <c r="E269" s="5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3"/>
      <c r="C270" s="2"/>
      <c r="D270" s="5"/>
      <c r="E270" s="5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3"/>
      <c r="C271" s="2"/>
      <c r="D271" s="5"/>
      <c r="E271" s="5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3"/>
      <c r="C272" s="2"/>
      <c r="D272" s="5"/>
      <c r="E272" s="5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3"/>
      <c r="C273" s="2"/>
      <c r="D273" s="5"/>
      <c r="E273" s="5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3"/>
      <c r="C274" s="2"/>
      <c r="D274" s="5"/>
      <c r="E274" s="5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3"/>
      <c r="C275" s="2"/>
      <c r="D275" s="5"/>
      <c r="E275" s="5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3"/>
      <c r="C276" s="2"/>
      <c r="D276" s="5"/>
      <c r="E276" s="5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3"/>
      <c r="C277" s="2"/>
      <c r="D277" s="5"/>
      <c r="E277" s="5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3"/>
      <c r="C278" s="2"/>
      <c r="D278" s="5"/>
      <c r="E278" s="5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3"/>
      <c r="C279" s="2"/>
      <c r="D279" s="5"/>
      <c r="E279" s="5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3"/>
      <c r="C280" s="2"/>
      <c r="D280" s="5"/>
      <c r="E280" s="5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3"/>
      <c r="C281" s="2"/>
      <c r="D281" s="5"/>
      <c r="E281" s="5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3"/>
      <c r="C282" s="2"/>
      <c r="D282" s="5"/>
      <c r="E282" s="5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3"/>
      <c r="C283" s="2"/>
      <c r="D283" s="5"/>
      <c r="E283" s="5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3"/>
      <c r="C284" s="2"/>
      <c r="D284" s="5"/>
      <c r="E284" s="5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3"/>
      <c r="C285" s="2"/>
      <c r="D285" s="5"/>
      <c r="E285" s="5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3"/>
      <c r="C286" s="2"/>
      <c r="D286" s="5"/>
      <c r="E286" s="5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3"/>
      <c r="C287" s="2"/>
      <c r="D287" s="5"/>
      <c r="E287" s="5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3"/>
      <c r="C288" s="2"/>
      <c r="D288" s="5"/>
      <c r="E288" s="5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3"/>
      <c r="C289" s="2"/>
      <c r="D289" s="5"/>
      <c r="E289" s="5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3"/>
      <c r="C290" s="2"/>
      <c r="D290" s="5"/>
      <c r="E290" s="5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3"/>
      <c r="C291" s="2"/>
      <c r="D291" s="5"/>
      <c r="E291" s="5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3"/>
      <c r="C292" s="2"/>
      <c r="D292" s="5"/>
      <c r="E292" s="5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3"/>
      <c r="C293" s="2"/>
      <c r="D293" s="5"/>
      <c r="E293" s="5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3"/>
      <c r="C294" s="2"/>
      <c r="D294" s="5"/>
      <c r="E294" s="5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3"/>
      <c r="C295" s="2"/>
      <c r="D295" s="5"/>
      <c r="E295" s="5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3"/>
      <c r="C296" s="2"/>
      <c r="D296" s="5"/>
      <c r="E296" s="5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3"/>
      <c r="C297" s="2"/>
      <c r="D297" s="5"/>
      <c r="E297" s="5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3"/>
      <c r="C298" s="2"/>
      <c r="D298" s="5"/>
      <c r="E298" s="5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3"/>
      <c r="C299" s="2"/>
      <c r="D299" s="5"/>
      <c r="E299" s="5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3"/>
      <c r="C300" s="2"/>
      <c r="D300" s="5"/>
      <c r="E300" s="5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3"/>
      <c r="C301" s="2"/>
      <c r="D301" s="5"/>
      <c r="E301" s="5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3"/>
      <c r="C302" s="2"/>
      <c r="D302" s="5"/>
      <c r="E302" s="5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3"/>
      <c r="C303" s="2"/>
      <c r="D303" s="5"/>
      <c r="E303" s="5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3"/>
      <c r="C304" s="2"/>
      <c r="D304" s="5"/>
      <c r="E304" s="5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3"/>
      <c r="C305" s="2"/>
      <c r="D305" s="5"/>
      <c r="E305" s="5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3"/>
      <c r="C306" s="2"/>
      <c r="D306" s="5"/>
      <c r="E306" s="5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3"/>
      <c r="C307" s="2"/>
      <c r="D307" s="5"/>
      <c r="E307" s="5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3"/>
      <c r="C308" s="2"/>
      <c r="D308" s="5"/>
      <c r="E308" s="5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3"/>
      <c r="C309" s="2"/>
      <c r="D309" s="5"/>
      <c r="E309" s="5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3"/>
      <c r="C310" s="2"/>
      <c r="D310" s="5"/>
      <c r="E310" s="5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3"/>
      <c r="C311" s="2"/>
      <c r="D311" s="5"/>
      <c r="E311" s="5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3"/>
      <c r="C312" s="2"/>
      <c r="D312" s="5"/>
      <c r="E312" s="5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3"/>
      <c r="C313" s="2"/>
      <c r="D313" s="5"/>
      <c r="E313" s="5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3"/>
      <c r="C314" s="2"/>
      <c r="D314" s="5"/>
      <c r="E314" s="5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3"/>
      <c r="C315" s="2"/>
      <c r="D315" s="5"/>
      <c r="E315" s="5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3"/>
      <c r="C316" s="2"/>
      <c r="D316" s="5"/>
      <c r="E316" s="5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3"/>
      <c r="C317" s="2"/>
      <c r="D317" s="5"/>
      <c r="E317" s="5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3"/>
      <c r="C318" s="2"/>
      <c r="D318" s="5"/>
      <c r="E318" s="5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3"/>
      <c r="C319" s="2"/>
      <c r="D319" s="5"/>
      <c r="E319" s="5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3"/>
      <c r="C320" s="2"/>
      <c r="D320" s="5"/>
      <c r="E320" s="5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3"/>
      <c r="C321" s="2"/>
      <c r="D321" s="5"/>
      <c r="E321" s="5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3"/>
      <c r="C322" s="2"/>
      <c r="D322" s="5"/>
      <c r="E322" s="5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3"/>
      <c r="C323" s="2"/>
      <c r="D323" s="5"/>
      <c r="E323" s="5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3"/>
      <c r="C324" s="2"/>
      <c r="D324" s="5"/>
      <c r="E324" s="5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3"/>
      <c r="C325" s="2"/>
      <c r="D325" s="5"/>
      <c r="E325" s="5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3"/>
      <c r="C326" s="2"/>
      <c r="D326" s="5"/>
      <c r="E326" s="5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3"/>
      <c r="C327" s="2"/>
      <c r="D327" s="5"/>
      <c r="E327" s="5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3"/>
      <c r="C328" s="2"/>
      <c r="D328" s="5"/>
      <c r="E328" s="5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3"/>
      <c r="C329" s="2"/>
      <c r="D329" s="5"/>
      <c r="E329" s="5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3"/>
      <c r="C330" s="2"/>
      <c r="D330" s="5"/>
      <c r="E330" s="5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3"/>
      <c r="C331" s="2"/>
      <c r="D331" s="5"/>
      <c r="E331" s="5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3"/>
      <c r="C332" s="2"/>
      <c r="D332" s="5"/>
      <c r="E332" s="5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3"/>
      <c r="C333" s="2"/>
      <c r="D333" s="5"/>
      <c r="E333" s="5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3"/>
      <c r="C334" s="2"/>
      <c r="D334" s="5"/>
      <c r="E334" s="5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3"/>
      <c r="C335" s="2"/>
      <c r="D335" s="5"/>
      <c r="E335" s="5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3"/>
      <c r="C336" s="2"/>
      <c r="D336" s="5"/>
      <c r="E336" s="5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3"/>
      <c r="C337" s="2"/>
      <c r="D337" s="5"/>
      <c r="E337" s="5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3"/>
      <c r="C338" s="2"/>
      <c r="D338" s="5"/>
      <c r="E338" s="5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3"/>
      <c r="C339" s="2"/>
      <c r="D339" s="5"/>
      <c r="E339" s="5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3"/>
      <c r="C340" s="2"/>
      <c r="D340" s="5"/>
      <c r="E340" s="5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3"/>
      <c r="C341" s="2"/>
      <c r="D341" s="5"/>
      <c r="E341" s="5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3"/>
      <c r="C342" s="2"/>
      <c r="D342" s="5"/>
      <c r="E342" s="5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3"/>
      <c r="C343" s="2"/>
      <c r="D343" s="5"/>
      <c r="E343" s="5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3"/>
      <c r="C344" s="2"/>
      <c r="D344" s="5"/>
      <c r="E344" s="5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3"/>
      <c r="C345" s="2"/>
      <c r="D345" s="5"/>
      <c r="E345" s="5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3"/>
      <c r="C346" s="2"/>
      <c r="D346" s="5"/>
      <c r="E346" s="5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3"/>
      <c r="C347" s="2"/>
      <c r="D347" s="5"/>
      <c r="E347" s="5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3"/>
      <c r="C348" s="2"/>
      <c r="D348" s="5"/>
      <c r="E348" s="5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3"/>
      <c r="C349" s="2"/>
      <c r="D349" s="5"/>
      <c r="E349" s="5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3"/>
      <c r="C350" s="2"/>
      <c r="D350" s="5"/>
      <c r="E350" s="5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3"/>
      <c r="C351" s="2"/>
      <c r="D351" s="5"/>
      <c r="E351" s="5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3"/>
      <c r="C352" s="2"/>
      <c r="D352" s="5"/>
      <c r="E352" s="5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3"/>
      <c r="C353" s="2"/>
      <c r="D353" s="5"/>
      <c r="E353" s="5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3"/>
      <c r="C354" s="2"/>
      <c r="D354" s="5"/>
      <c r="E354" s="5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3"/>
      <c r="C355" s="2"/>
      <c r="D355" s="5"/>
      <c r="E355" s="5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3"/>
      <c r="C356" s="2"/>
      <c r="D356" s="5"/>
      <c r="E356" s="5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3"/>
      <c r="C357" s="2"/>
      <c r="D357" s="5"/>
      <c r="E357" s="5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3"/>
      <c r="C358" s="2"/>
      <c r="D358" s="5"/>
      <c r="E358" s="5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3"/>
      <c r="C359" s="2"/>
      <c r="D359" s="5"/>
      <c r="E359" s="5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3"/>
      <c r="C360" s="2"/>
      <c r="D360" s="5"/>
      <c r="E360" s="5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3"/>
      <c r="C361" s="2"/>
      <c r="D361" s="5"/>
      <c r="E361" s="5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3"/>
      <c r="C362" s="2"/>
      <c r="D362" s="5"/>
      <c r="E362" s="5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3"/>
      <c r="C363" s="2"/>
      <c r="D363" s="5"/>
      <c r="E363" s="5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3"/>
      <c r="C364" s="2"/>
      <c r="D364" s="5"/>
      <c r="E364" s="5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3"/>
      <c r="C365" s="2"/>
      <c r="D365" s="5"/>
      <c r="E365" s="5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3"/>
      <c r="C366" s="2"/>
      <c r="D366" s="5"/>
      <c r="E366" s="5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3"/>
      <c r="C367" s="2"/>
      <c r="D367" s="5"/>
      <c r="E367" s="5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3"/>
      <c r="C368" s="2"/>
      <c r="D368" s="5"/>
      <c r="E368" s="5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3"/>
      <c r="C369" s="2"/>
      <c r="D369" s="5"/>
      <c r="E369" s="5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3"/>
      <c r="C370" s="2"/>
      <c r="D370" s="5"/>
      <c r="E370" s="5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3"/>
      <c r="C371" s="2"/>
      <c r="D371" s="5"/>
      <c r="E371" s="5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3"/>
      <c r="C372" s="2"/>
      <c r="D372" s="5"/>
      <c r="E372" s="5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3"/>
      <c r="C373" s="2"/>
      <c r="D373" s="5"/>
      <c r="E373" s="5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3"/>
      <c r="C374" s="2"/>
      <c r="D374" s="5"/>
      <c r="E374" s="5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3"/>
      <c r="C375" s="2"/>
      <c r="D375" s="5"/>
      <c r="E375" s="5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3"/>
      <c r="C376" s="2"/>
      <c r="D376" s="5"/>
      <c r="E376" s="5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3"/>
      <c r="C377" s="2"/>
      <c r="D377" s="5"/>
      <c r="E377" s="5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3"/>
      <c r="C378" s="2"/>
      <c r="D378" s="5"/>
      <c r="E378" s="5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3"/>
      <c r="C379" s="2"/>
      <c r="D379" s="5"/>
      <c r="E379" s="5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3"/>
      <c r="C380" s="2"/>
      <c r="D380" s="5"/>
      <c r="E380" s="5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3"/>
      <c r="C381" s="2"/>
      <c r="D381" s="5"/>
      <c r="E381" s="5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3"/>
      <c r="C382" s="2"/>
      <c r="D382" s="5"/>
      <c r="E382" s="5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3"/>
      <c r="C383" s="2"/>
      <c r="D383" s="5"/>
      <c r="E383" s="5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3"/>
      <c r="C384" s="2"/>
      <c r="D384" s="5"/>
      <c r="E384" s="5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3"/>
      <c r="C385" s="2"/>
      <c r="D385" s="5"/>
      <c r="E385" s="5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3"/>
      <c r="C386" s="2"/>
      <c r="D386" s="5"/>
      <c r="E386" s="5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3"/>
      <c r="C387" s="2"/>
      <c r="D387" s="5"/>
      <c r="E387" s="5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3"/>
      <c r="C388" s="2"/>
      <c r="D388" s="5"/>
      <c r="E388" s="5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3"/>
      <c r="C389" s="2"/>
      <c r="D389" s="5"/>
      <c r="E389" s="5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3"/>
      <c r="C390" s="2"/>
      <c r="D390" s="5"/>
      <c r="E390" s="5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3"/>
      <c r="C391" s="2"/>
      <c r="D391" s="5"/>
      <c r="E391" s="5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3"/>
      <c r="C392" s="2"/>
      <c r="D392" s="5"/>
      <c r="E392" s="5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3"/>
      <c r="C393" s="2"/>
      <c r="D393" s="5"/>
      <c r="E393" s="5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3"/>
      <c r="C394" s="2"/>
      <c r="D394" s="5"/>
      <c r="E394" s="5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3"/>
      <c r="C395" s="2"/>
      <c r="D395" s="5"/>
      <c r="E395" s="5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3"/>
      <c r="C396" s="2"/>
      <c r="D396" s="5"/>
      <c r="E396" s="5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3"/>
      <c r="C397" s="2"/>
      <c r="D397" s="5"/>
      <c r="E397" s="5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3"/>
      <c r="C398" s="2"/>
      <c r="D398" s="5"/>
      <c r="E398" s="5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3"/>
      <c r="C399" s="2"/>
      <c r="D399" s="5"/>
      <c r="E399" s="5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3"/>
      <c r="C400" s="2"/>
      <c r="D400" s="5"/>
      <c r="E400" s="5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3"/>
      <c r="C401" s="2"/>
      <c r="D401" s="5"/>
      <c r="E401" s="5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3"/>
      <c r="C402" s="2"/>
      <c r="D402" s="5"/>
      <c r="E402" s="5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3"/>
      <c r="C403" s="2"/>
      <c r="D403" s="5"/>
      <c r="E403" s="5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3"/>
      <c r="C404" s="2"/>
      <c r="D404" s="5"/>
      <c r="E404" s="5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3"/>
      <c r="C405" s="2"/>
      <c r="D405" s="5"/>
      <c r="E405" s="5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3"/>
      <c r="C406" s="2"/>
      <c r="D406" s="5"/>
      <c r="E406" s="5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3"/>
      <c r="C407" s="2"/>
      <c r="D407" s="5"/>
      <c r="E407" s="5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3"/>
      <c r="C408" s="2"/>
      <c r="D408" s="5"/>
      <c r="E408" s="5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3"/>
      <c r="C409" s="2"/>
      <c r="D409" s="5"/>
      <c r="E409" s="5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3"/>
      <c r="C410" s="2"/>
      <c r="D410" s="5"/>
      <c r="E410" s="5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3"/>
      <c r="C411" s="2"/>
      <c r="D411" s="5"/>
      <c r="E411" s="5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3"/>
      <c r="C412" s="2"/>
      <c r="D412" s="5"/>
      <c r="E412" s="5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3"/>
      <c r="C413" s="2"/>
      <c r="D413" s="5"/>
      <c r="E413" s="5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3"/>
      <c r="C414" s="2"/>
      <c r="D414" s="5"/>
      <c r="E414" s="5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3"/>
      <c r="C415" s="2"/>
      <c r="D415" s="5"/>
      <c r="E415" s="5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3"/>
      <c r="C416" s="2"/>
      <c r="D416" s="5"/>
      <c r="E416" s="5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3"/>
      <c r="C417" s="2"/>
      <c r="D417" s="5"/>
      <c r="E417" s="5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3"/>
      <c r="C418" s="2"/>
      <c r="D418" s="5"/>
      <c r="E418" s="5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3"/>
      <c r="C419" s="2"/>
      <c r="D419" s="5"/>
      <c r="E419" s="5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3"/>
      <c r="C420" s="2"/>
      <c r="D420" s="5"/>
      <c r="E420" s="5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3"/>
      <c r="C421" s="2"/>
      <c r="D421" s="5"/>
      <c r="E421" s="5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3"/>
      <c r="C422" s="2"/>
      <c r="D422" s="5"/>
      <c r="E422" s="5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3"/>
      <c r="C423" s="2"/>
      <c r="D423" s="5"/>
      <c r="E423" s="5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3"/>
      <c r="C424" s="2"/>
      <c r="D424" s="5"/>
      <c r="E424" s="5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3"/>
      <c r="C425" s="2"/>
      <c r="D425" s="5"/>
      <c r="E425" s="5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3"/>
      <c r="C426" s="2"/>
      <c r="D426" s="5"/>
      <c r="E426" s="5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3"/>
      <c r="C427" s="2"/>
      <c r="D427" s="5"/>
      <c r="E427" s="5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3"/>
      <c r="C428" s="2"/>
      <c r="D428" s="5"/>
      <c r="E428" s="5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3"/>
      <c r="C429" s="2"/>
      <c r="D429" s="5"/>
      <c r="E429" s="5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3"/>
      <c r="C430" s="2"/>
      <c r="D430" s="5"/>
      <c r="E430" s="5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3"/>
      <c r="C431" s="2"/>
      <c r="D431" s="5"/>
      <c r="E431" s="5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3"/>
      <c r="C432" s="2"/>
      <c r="D432" s="5"/>
      <c r="E432" s="5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3"/>
      <c r="C433" s="2"/>
      <c r="D433" s="5"/>
      <c r="E433" s="5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3"/>
      <c r="C434" s="2"/>
      <c r="D434" s="5"/>
      <c r="E434" s="5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3"/>
      <c r="C435" s="2"/>
      <c r="D435" s="5"/>
      <c r="E435" s="5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3"/>
      <c r="C436" s="2"/>
      <c r="D436" s="5"/>
      <c r="E436" s="5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3"/>
      <c r="C437" s="2"/>
      <c r="D437" s="5"/>
      <c r="E437" s="5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3"/>
      <c r="C438" s="2"/>
      <c r="D438" s="5"/>
      <c r="E438" s="5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3"/>
      <c r="C439" s="2"/>
      <c r="D439" s="5"/>
      <c r="E439" s="5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3"/>
      <c r="C440" s="2"/>
      <c r="D440" s="5"/>
      <c r="E440" s="5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3"/>
      <c r="C441" s="2"/>
      <c r="D441" s="5"/>
      <c r="E441" s="5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3"/>
      <c r="C442" s="2"/>
      <c r="D442" s="5"/>
      <c r="E442" s="5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3"/>
      <c r="C443" s="2"/>
      <c r="D443" s="5"/>
      <c r="E443" s="5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3"/>
      <c r="C444" s="2"/>
      <c r="D444" s="5"/>
      <c r="E444" s="5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3"/>
      <c r="C445" s="2"/>
      <c r="D445" s="5"/>
      <c r="E445" s="5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3"/>
      <c r="C446" s="2"/>
      <c r="D446" s="5"/>
      <c r="E446" s="5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3"/>
      <c r="C447" s="2"/>
      <c r="D447" s="5"/>
      <c r="E447" s="5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3"/>
      <c r="C448" s="2"/>
      <c r="D448" s="5"/>
      <c r="E448" s="5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3"/>
      <c r="C449" s="2"/>
      <c r="D449" s="5"/>
      <c r="E449" s="5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3"/>
      <c r="C450" s="2"/>
      <c r="D450" s="5"/>
      <c r="E450" s="5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3"/>
      <c r="C451" s="2"/>
      <c r="D451" s="5"/>
      <c r="E451" s="5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3"/>
      <c r="C452" s="2"/>
      <c r="D452" s="5"/>
      <c r="E452" s="5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3"/>
      <c r="C453" s="2"/>
      <c r="D453" s="5"/>
      <c r="E453" s="5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3"/>
      <c r="C454" s="2"/>
      <c r="D454" s="5"/>
      <c r="E454" s="5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3"/>
      <c r="C455" s="2"/>
      <c r="D455" s="5"/>
      <c r="E455" s="5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3"/>
      <c r="C456" s="2"/>
      <c r="D456" s="5"/>
      <c r="E456" s="5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3"/>
      <c r="C457" s="2"/>
      <c r="D457" s="5"/>
      <c r="E457" s="5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3"/>
      <c r="C458" s="2"/>
      <c r="D458" s="5"/>
      <c r="E458" s="5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3"/>
      <c r="C459" s="2"/>
      <c r="D459" s="5"/>
      <c r="E459" s="5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3"/>
      <c r="C460" s="2"/>
      <c r="D460" s="5"/>
      <c r="E460" s="5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3"/>
      <c r="C461" s="2"/>
      <c r="D461" s="5"/>
      <c r="E461" s="5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3"/>
      <c r="C462" s="2"/>
      <c r="D462" s="5"/>
      <c r="E462" s="5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3"/>
      <c r="C463" s="2"/>
      <c r="D463" s="5"/>
      <c r="E463" s="5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3"/>
      <c r="C464" s="2"/>
      <c r="D464" s="5"/>
      <c r="E464" s="5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3"/>
      <c r="C465" s="2"/>
      <c r="D465" s="5"/>
      <c r="E465" s="5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3"/>
      <c r="C466" s="2"/>
      <c r="D466" s="5"/>
      <c r="E466" s="5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3"/>
      <c r="C467" s="2"/>
      <c r="D467" s="5"/>
      <c r="E467" s="5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3"/>
      <c r="C468" s="2"/>
      <c r="D468" s="5"/>
      <c r="E468" s="5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3"/>
      <c r="C469" s="2"/>
      <c r="D469" s="5"/>
      <c r="E469" s="5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3"/>
      <c r="C470" s="2"/>
      <c r="D470" s="5"/>
      <c r="E470" s="5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3"/>
      <c r="C471" s="2"/>
      <c r="D471" s="5"/>
      <c r="E471" s="5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3"/>
      <c r="C472" s="2"/>
      <c r="D472" s="5"/>
      <c r="E472" s="5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3"/>
      <c r="C473" s="2"/>
      <c r="D473" s="5"/>
      <c r="E473" s="5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3"/>
      <c r="C474" s="2"/>
      <c r="D474" s="5"/>
      <c r="E474" s="5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3"/>
      <c r="C475" s="2"/>
      <c r="D475" s="5"/>
      <c r="E475" s="5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3"/>
      <c r="C476" s="2"/>
      <c r="D476" s="5"/>
      <c r="E476" s="5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3"/>
      <c r="C477" s="2"/>
      <c r="D477" s="5"/>
      <c r="E477" s="5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3"/>
      <c r="C478" s="2"/>
      <c r="D478" s="5"/>
      <c r="E478" s="5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3"/>
      <c r="C479" s="2"/>
      <c r="D479" s="5"/>
      <c r="E479" s="5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3"/>
      <c r="C480" s="2"/>
      <c r="D480" s="5"/>
      <c r="E480" s="5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3"/>
      <c r="C481" s="2"/>
      <c r="D481" s="5"/>
      <c r="E481" s="5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3"/>
      <c r="C482" s="2"/>
      <c r="D482" s="5"/>
      <c r="E482" s="5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3"/>
      <c r="C483" s="2"/>
      <c r="D483" s="5"/>
      <c r="E483" s="5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3"/>
      <c r="C484" s="2"/>
      <c r="D484" s="5"/>
      <c r="E484" s="5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3"/>
      <c r="C485" s="2"/>
      <c r="D485" s="5"/>
      <c r="E485" s="5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3"/>
      <c r="C486" s="2"/>
      <c r="D486" s="5"/>
      <c r="E486" s="5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3"/>
      <c r="C487" s="2"/>
      <c r="D487" s="5"/>
      <c r="E487" s="5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3"/>
      <c r="C488" s="2"/>
      <c r="D488" s="5"/>
      <c r="E488" s="5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3"/>
      <c r="C489" s="2"/>
      <c r="D489" s="5"/>
      <c r="E489" s="5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3"/>
      <c r="C490" s="2"/>
      <c r="D490" s="5"/>
      <c r="E490" s="5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3"/>
      <c r="C491" s="2"/>
      <c r="D491" s="5"/>
      <c r="E491" s="5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3"/>
      <c r="C492" s="2"/>
      <c r="D492" s="5"/>
      <c r="E492" s="5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3"/>
      <c r="C493" s="2"/>
      <c r="D493" s="5"/>
      <c r="E493" s="5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3"/>
      <c r="C494" s="2"/>
      <c r="D494" s="5"/>
      <c r="E494" s="5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3"/>
      <c r="C495" s="2"/>
      <c r="D495" s="5"/>
      <c r="E495" s="5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3"/>
      <c r="C496" s="2"/>
      <c r="D496" s="5"/>
      <c r="E496" s="5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3"/>
      <c r="C497" s="2"/>
      <c r="D497" s="5"/>
      <c r="E497" s="5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3"/>
      <c r="C498" s="2"/>
      <c r="D498" s="5"/>
      <c r="E498" s="5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3"/>
      <c r="C499" s="2"/>
      <c r="D499" s="5"/>
      <c r="E499" s="5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3"/>
      <c r="C500" s="2"/>
      <c r="D500" s="5"/>
      <c r="E500" s="5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0"/>
  <sheetViews>
    <sheetView workbookViewId="0"/>
  </sheetViews>
  <sheetFormatPr defaultRowHeight="14.6" x14ac:dyDescent="0.4"/>
  <cols>
    <col min="1" max="1" width="26" customWidth="1"/>
    <col min="2" max="2" width="12" customWidth="1"/>
    <col min="3" max="3" width="20" customWidth="1"/>
    <col min="4" max="4" width="14" customWidth="1"/>
    <col min="5" max="5" width="38" customWidth="1"/>
  </cols>
  <sheetData>
    <row r="1" spans="1:26" x14ac:dyDescent="0.4">
      <c r="A1" s="1" t="s">
        <v>45</v>
      </c>
      <c r="B1" s="1" t="s">
        <v>21</v>
      </c>
      <c r="C1" s="1" t="s">
        <v>16</v>
      </c>
      <c r="D1" s="1" t="s">
        <v>46</v>
      </c>
      <c r="E1" s="1" t="s">
        <v>28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4">
      <c r="A2" s="2" t="s">
        <v>95</v>
      </c>
      <c r="B2" s="2" t="s">
        <v>53</v>
      </c>
      <c r="C2" s="2" t="s">
        <v>94</v>
      </c>
      <c r="D2" s="2" t="s">
        <v>138</v>
      </c>
      <c r="E2" s="2" t="s">
        <v>139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">
      <c r="A3" s="2" t="s">
        <v>125</v>
      </c>
      <c r="B3" s="2" t="s">
        <v>53</v>
      </c>
      <c r="C3" s="2" t="s">
        <v>124</v>
      </c>
      <c r="D3" s="2" t="s">
        <v>138</v>
      </c>
      <c r="E3" s="2" t="s">
        <v>139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">
      <c r="A4" s="2" t="s">
        <v>99</v>
      </c>
      <c r="B4" s="2" t="s">
        <v>61</v>
      </c>
      <c r="C4" s="2" t="s">
        <v>94</v>
      </c>
      <c r="D4" s="2" t="s">
        <v>138</v>
      </c>
      <c r="E4" s="2" t="s">
        <v>139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4">
      <c r="A5" s="2" t="s">
        <v>127</v>
      </c>
      <c r="B5" s="2" t="s">
        <v>61</v>
      </c>
      <c r="C5" s="2" t="s">
        <v>124</v>
      </c>
      <c r="D5" s="2" t="s">
        <v>138</v>
      </c>
      <c r="E5" s="2" t="s">
        <v>139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4">
      <c r="A6" s="2" t="s">
        <v>102</v>
      </c>
      <c r="B6" s="2" t="s">
        <v>65</v>
      </c>
      <c r="C6" s="2" t="s">
        <v>94</v>
      </c>
      <c r="D6" s="2" t="s">
        <v>138</v>
      </c>
      <c r="E6" s="2" t="s">
        <v>139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">
      <c r="A7" s="2" t="s">
        <v>113</v>
      </c>
      <c r="B7" s="2" t="s">
        <v>69</v>
      </c>
      <c r="C7" s="2" t="s">
        <v>112</v>
      </c>
      <c r="D7" s="2" t="s">
        <v>138</v>
      </c>
      <c r="E7" s="2" t="s">
        <v>139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4">
      <c r="A8" s="2" t="s">
        <v>116</v>
      </c>
      <c r="B8" s="2" t="s">
        <v>72</v>
      </c>
      <c r="C8" s="2" t="s">
        <v>112</v>
      </c>
      <c r="D8" s="2" t="s">
        <v>138</v>
      </c>
      <c r="E8" s="2" t="s">
        <v>139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">
      <c r="A9" s="2" t="s">
        <v>134</v>
      </c>
      <c r="B9" s="2" t="s">
        <v>72</v>
      </c>
      <c r="C9" s="2" t="s">
        <v>124</v>
      </c>
      <c r="D9" s="2" t="s">
        <v>138</v>
      </c>
      <c r="E9" s="2" t="s">
        <v>139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">
      <c r="A10" s="2" t="s">
        <v>105</v>
      </c>
      <c r="B10" s="2" t="s">
        <v>76</v>
      </c>
      <c r="C10" s="2" t="s">
        <v>94</v>
      </c>
      <c r="D10" s="2" t="s">
        <v>138</v>
      </c>
      <c r="E10" s="2" t="s">
        <v>139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">
      <c r="A11" s="2" t="s">
        <v>118</v>
      </c>
      <c r="B11" s="2" t="s">
        <v>78</v>
      </c>
      <c r="C11" s="2" t="s">
        <v>112</v>
      </c>
      <c r="D11" s="2" t="s">
        <v>138</v>
      </c>
      <c r="E11" s="2" t="s">
        <v>139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">
      <c r="A12" s="2" t="s">
        <v>120</v>
      </c>
      <c r="B12" s="2" t="s">
        <v>81</v>
      </c>
      <c r="C12" s="2" t="s">
        <v>112</v>
      </c>
      <c r="D12" s="2" t="s">
        <v>138</v>
      </c>
      <c r="E12" s="2" t="s">
        <v>139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">
      <c r="A13" s="2" t="s">
        <v>132</v>
      </c>
      <c r="B13" s="2" t="s">
        <v>81</v>
      </c>
      <c r="C13" s="2" t="s">
        <v>124</v>
      </c>
      <c r="D13" s="2" t="s">
        <v>138</v>
      </c>
      <c r="E13" s="2" t="s">
        <v>139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">
      <c r="A14" s="2" t="s">
        <v>129</v>
      </c>
      <c r="B14" s="2" t="s">
        <v>85</v>
      </c>
      <c r="C14" s="2" t="s">
        <v>124</v>
      </c>
      <c r="D14" s="2" t="s">
        <v>138</v>
      </c>
      <c r="E14" s="2" t="s">
        <v>139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">
      <c r="A15" s="2" t="s">
        <v>108</v>
      </c>
      <c r="B15" s="2" t="s">
        <v>87</v>
      </c>
      <c r="C15" s="2" t="s">
        <v>94</v>
      </c>
      <c r="D15" s="2" t="s">
        <v>138</v>
      </c>
      <c r="E15" s="2" t="s">
        <v>139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dataValidations count="1">
    <dataValidation type="list" sqref="D2:D500" xr:uid="{00000000-0002-0000-0400-000000000000}">
      <formula1>"Confirmed,Pending,Rejected"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00"/>
  <sheetViews>
    <sheetView workbookViewId="0"/>
  </sheetViews>
  <sheetFormatPr defaultRowHeight="14.6" x14ac:dyDescent="0.4"/>
  <cols>
    <col min="1" max="1" width="12" customWidth="1"/>
    <col min="2" max="2" width="11" customWidth="1"/>
    <col min="3" max="4" width="24" customWidth="1"/>
    <col min="5" max="5" width="38" customWidth="1"/>
    <col min="6" max="6" width="12" customWidth="1"/>
    <col min="7" max="7" width="14" customWidth="1"/>
    <col min="8" max="8" width="28" customWidth="1"/>
  </cols>
  <sheetData>
    <row r="1" spans="1:26" x14ac:dyDescent="0.4">
      <c r="A1" s="1" t="s">
        <v>47</v>
      </c>
      <c r="B1" s="1" t="s">
        <v>30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46</v>
      </c>
      <c r="H1" s="1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4">
      <c r="A2" s="2" t="s">
        <v>140</v>
      </c>
      <c r="B2" s="2" t="s">
        <v>123</v>
      </c>
      <c r="C2" s="2" t="s">
        <v>141</v>
      </c>
      <c r="D2" s="2" t="s">
        <v>142</v>
      </c>
      <c r="E2" s="2"/>
      <c r="F2" s="6">
        <v>0.35</v>
      </c>
      <c r="G2" s="2" t="s">
        <v>143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">
      <c r="A3" s="2" t="s">
        <v>144</v>
      </c>
      <c r="B3" s="2" t="s">
        <v>111</v>
      </c>
      <c r="C3" s="2" t="s">
        <v>145</v>
      </c>
      <c r="D3" s="2" t="s">
        <v>146</v>
      </c>
      <c r="E3" s="2" t="s">
        <v>66</v>
      </c>
      <c r="F3" s="6">
        <v>0.82</v>
      </c>
      <c r="G3" s="2" t="s">
        <v>143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">
      <c r="A4" s="2" t="s">
        <v>147</v>
      </c>
      <c r="B4" s="2" t="s">
        <v>93</v>
      </c>
      <c r="C4" s="2" t="s">
        <v>148</v>
      </c>
      <c r="D4" s="2" t="s">
        <v>146</v>
      </c>
      <c r="E4" s="2" t="s">
        <v>149</v>
      </c>
      <c r="F4" s="6">
        <v>0.76</v>
      </c>
      <c r="G4" s="2" t="s">
        <v>143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4">
      <c r="A5" s="2" t="s">
        <v>150</v>
      </c>
      <c r="B5" s="2" t="s">
        <v>123</v>
      </c>
      <c r="C5" s="2" t="s">
        <v>151</v>
      </c>
      <c r="D5" s="2" t="s">
        <v>152</v>
      </c>
      <c r="E5" s="2" t="s">
        <v>153</v>
      </c>
      <c r="F5" s="6">
        <v>0.45</v>
      </c>
      <c r="G5" s="2" t="s">
        <v>143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4">
      <c r="A6" s="2"/>
      <c r="B6" s="2"/>
      <c r="C6" s="2"/>
      <c r="D6" s="2"/>
      <c r="E6" s="2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4">
      <c r="A7" s="2"/>
      <c r="B7" s="2"/>
      <c r="C7" s="2"/>
      <c r="D7" s="2"/>
      <c r="E7" s="2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4">
      <c r="A8" s="2"/>
      <c r="B8" s="2"/>
      <c r="C8" s="2"/>
      <c r="D8" s="2"/>
      <c r="E8" s="2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4">
      <c r="A9" s="2"/>
      <c r="B9" s="2"/>
      <c r="C9" s="2"/>
      <c r="D9" s="2"/>
      <c r="E9" s="2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4">
      <c r="A10" s="2"/>
      <c r="B10" s="2"/>
      <c r="C10" s="2"/>
      <c r="D10" s="2"/>
      <c r="E10" s="2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4">
      <c r="A11" s="2"/>
      <c r="B11" s="2"/>
      <c r="C11" s="2"/>
      <c r="D11" s="2"/>
      <c r="E11" s="2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4">
      <c r="A12" s="2"/>
      <c r="B12" s="2"/>
      <c r="C12" s="2"/>
      <c r="D12" s="2"/>
      <c r="E12" s="2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4">
      <c r="A13" s="2"/>
      <c r="B13" s="2"/>
      <c r="C13" s="2"/>
      <c r="D13" s="2"/>
      <c r="E13" s="2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4">
      <c r="A14" s="2"/>
      <c r="B14" s="2"/>
      <c r="C14" s="2"/>
      <c r="D14" s="2"/>
      <c r="E14" s="2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4">
      <c r="A15" s="2"/>
      <c r="B15" s="2"/>
      <c r="C15" s="2"/>
      <c r="D15" s="2"/>
      <c r="E15" s="2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4">
      <c r="A16" s="2"/>
      <c r="B16" s="2"/>
      <c r="C16" s="2"/>
      <c r="D16" s="2"/>
      <c r="E16" s="2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4">
      <c r="A17" s="2"/>
      <c r="B17" s="2"/>
      <c r="C17" s="2"/>
      <c r="D17" s="2"/>
      <c r="E17" s="2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4">
      <c r="A18" s="2"/>
      <c r="B18" s="2"/>
      <c r="C18" s="2"/>
      <c r="D18" s="2"/>
      <c r="E18" s="2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4">
      <c r="A19" s="2"/>
      <c r="B19" s="2"/>
      <c r="C19" s="2"/>
      <c r="D19" s="2"/>
      <c r="E19" s="2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4">
      <c r="A20" s="2"/>
      <c r="B20" s="2"/>
      <c r="C20" s="2"/>
      <c r="D20" s="2"/>
      <c r="E20" s="2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4">
      <c r="A21" s="2"/>
      <c r="B21" s="2"/>
      <c r="C21" s="2"/>
      <c r="D21" s="2"/>
      <c r="E21" s="2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4">
      <c r="A22" s="2"/>
      <c r="B22" s="2"/>
      <c r="C22" s="2"/>
      <c r="D22" s="2"/>
      <c r="E22" s="2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4">
      <c r="A23" s="2"/>
      <c r="B23" s="2"/>
      <c r="C23" s="2"/>
      <c r="D23" s="2"/>
      <c r="E23" s="2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4">
      <c r="A24" s="2"/>
      <c r="B24" s="2"/>
      <c r="C24" s="2"/>
      <c r="D24" s="2"/>
      <c r="E24" s="2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4">
      <c r="A25" s="2"/>
      <c r="B25" s="2"/>
      <c r="C25" s="2"/>
      <c r="D25" s="2"/>
      <c r="E25" s="2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4">
      <c r="A26" s="2"/>
      <c r="B26" s="2"/>
      <c r="C26" s="2"/>
      <c r="D26" s="2"/>
      <c r="E26" s="2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4">
      <c r="A27" s="2"/>
      <c r="B27" s="2"/>
      <c r="C27" s="2"/>
      <c r="D27" s="2"/>
      <c r="E27" s="2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4">
      <c r="A28" s="2"/>
      <c r="B28" s="2"/>
      <c r="C28" s="2"/>
      <c r="D28" s="2"/>
      <c r="E28" s="2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4">
      <c r="A29" s="2"/>
      <c r="B29" s="2"/>
      <c r="C29" s="2"/>
      <c r="D29" s="2"/>
      <c r="E29" s="2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4">
      <c r="A30" s="2"/>
      <c r="B30" s="2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">
      <c r="A31" s="2"/>
      <c r="B31" s="2"/>
      <c r="C31" s="2"/>
      <c r="D31" s="2"/>
      <c r="E31" s="2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">
      <c r="A32" s="2"/>
      <c r="B32" s="2"/>
      <c r="C32" s="2"/>
      <c r="D32" s="2"/>
      <c r="E32" s="2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">
      <c r="A33" s="2"/>
      <c r="B33" s="2"/>
      <c r="C33" s="2"/>
      <c r="D33" s="2"/>
      <c r="E33" s="2"/>
      <c r="F33" s="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">
      <c r="A34" s="2"/>
      <c r="B34" s="2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">
      <c r="A35" s="2"/>
      <c r="B35" s="2"/>
      <c r="C35" s="2"/>
      <c r="D35" s="2"/>
      <c r="E35" s="2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">
      <c r="A36" s="2"/>
      <c r="B36" s="2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">
      <c r="A37" s="2"/>
      <c r="B37" s="2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2"/>
      <c r="B38" s="2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2"/>
      <c r="B39" s="2"/>
      <c r="C39" s="2"/>
      <c r="D39" s="2"/>
      <c r="E39" s="2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">
      <c r="A40" s="2"/>
      <c r="B40" s="2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">
      <c r="A41" s="2"/>
      <c r="B41" s="2"/>
      <c r="C41" s="2"/>
      <c r="D41" s="2"/>
      <c r="E41" s="2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2"/>
      <c r="B42" s="2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2"/>
      <c r="B43" s="2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2"/>
      <c r="B44" s="2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2"/>
      <c r="B45" s="2"/>
      <c r="C45" s="2"/>
      <c r="D45" s="2"/>
      <c r="E45" s="2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2"/>
      <c r="B46" s="2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2"/>
      <c r="B47" s="2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2"/>
      <c r="B48" s="2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2"/>
      <c r="B49" s="2"/>
      <c r="C49" s="2"/>
      <c r="D49" s="2"/>
      <c r="E49" s="2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">
      <c r="A50" s="2"/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">
      <c r="A51" s="2"/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2"/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2"/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">
      <c r="A54" s="2"/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2"/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2"/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">
      <c r="A57" s="2"/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2"/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2"/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2"/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2"/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2"/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2"/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">
      <c r="A64" s="2"/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2"/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">
      <c r="A66" s="2"/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">
      <c r="A67" s="2"/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">
      <c r="A68" s="2"/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2"/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2"/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2"/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2"/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2"/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2"/>
      <c r="B74" s="2"/>
      <c r="C74" s="2"/>
      <c r="D74" s="2"/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2"/>
      <c r="B75" s="2"/>
      <c r="C75" s="2"/>
      <c r="D75" s="2"/>
      <c r="E75" s="2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2"/>
      <c r="B76" s="2"/>
      <c r="C76" s="2"/>
      <c r="D76" s="2"/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2"/>
      <c r="B77" s="2"/>
      <c r="C77" s="2"/>
      <c r="D77" s="2"/>
      <c r="E77" s="2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2"/>
      <c r="B78" s="2"/>
      <c r="C78" s="2"/>
      <c r="D78" s="2"/>
      <c r="E78" s="2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2"/>
      <c r="B79" s="2"/>
      <c r="C79" s="2"/>
      <c r="D79" s="2"/>
      <c r="E79" s="2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2"/>
      <c r="B80" s="2"/>
      <c r="C80" s="2"/>
      <c r="D80" s="2"/>
      <c r="E80" s="2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">
      <c r="A81" s="2"/>
      <c r="B81" s="2"/>
      <c r="C81" s="2"/>
      <c r="D81" s="2"/>
      <c r="E81" s="2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2"/>
      <c r="B82" s="2"/>
      <c r="C82" s="2"/>
      <c r="D82" s="2"/>
      <c r="E82" s="2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">
      <c r="A83" s="2"/>
      <c r="B83" s="2"/>
      <c r="C83" s="2"/>
      <c r="D83" s="2"/>
      <c r="E83" s="2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">
      <c r="A84" s="2"/>
      <c r="B84" s="2"/>
      <c r="C84" s="2"/>
      <c r="D84" s="2"/>
      <c r="E84" s="2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">
      <c r="A85" s="2"/>
      <c r="B85" s="2"/>
      <c r="C85" s="2"/>
      <c r="D85" s="2"/>
      <c r="E85" s="2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">
      <c r="A86" s="2"/>
      <c r="B86" s="2"/>
      <c r="C86" s="2"/>
      <c r="D86" s="2"/>
      <c r="E86" s="2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">
      <c r="A87" s="2"/>
      <c r="B87" s="2"/>
      <c r="C87" s="2"/>
      <c r="D87" s="2"/>
      <c r="E87" s="2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">
      <c r="A88" s="2"/>
      <c r="B88" s="2"/>
      <c r="C88" s="2"/>
      <c r="D88" s="2"/>
      <c r="E88" s="2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">
      <c r="A89" s="2"/>
      <c r="B89" s="2"/>
      <c r="C89" s="2"/>
      <c r="D89" s="2"/>
      <c r="E89" s="2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">
      <c r="A90" s="2"/>
      <c r="B90" s="2"/>
      <c r="C90" s="2"/>
      <c r="D90" s="2"/>
      <c r="E90" s="2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">
      <c r="A91" s="2"/>
      <c r="B91" s="2"/>
      <c r="C91" s="2"/>
      <c r="D91" s="2"/>
      <c r="E91" s="2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">
      <c r="A92" s="2"/>
      <c r="B92" s="2"/>
      <c r="C92" s="2"/>
      <c r="D92" s="2"/>
      <c r="E92" s="2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">
      <c r="A93" s="2"/>
      <c r="B93" s="2"/>
      <c r="C93" s="2"/>
      <c r="D93" s="2"/>
      <c r="E93" s="2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">
      <c r="A94" s="2"/>
      <c r="B94" s="2"/>
      <c r="C94" s="2"/>
      <c r="D94" s="2"/>
      <c r="E94" s="2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">
      <c r="A95" s="2"/>
      <c r="B95" s="2"/>
      <c r="C95" s="2"/>
      <c r="D95" s="2"/>
      <c r="E95" s="2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">
      <c r="A96" s="2"/>
      <c r="B96" s="2"/>
      <c r="C96" s="2"/>
      <c r="D96" s="2"/>
      <c r="E96" s="2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">
      <c r="A97" s="2"/>
      <c r="B97" s="2"/>
      <c r="C97" s="2"/>
      <c r="D97" s="2"/>
      <c r="E97" s="2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">
      <c r="A98" s="2"/>
      <c r="B98" s="2"/>
      <c r="C98" s="2"/>
      <c r="D98" s="2"/>
      <c r="E98" s="2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">
      <c r="A99" s="2"/>
      <c r="B99" s="2"/>
      <c r="C99" s="2"/>
      <c r="D99" s="2"/>
      <c r="E99" s="2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">
      <c r="A100" s="2"/>
      <c r="B100" s="2"/>
      <c r="C100" s="2"/>
      <c r="D100" s="2"/>
      <c r="E100" s="2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">
      <c r="A101" s="2"/>
      <c r="B101" s="2"/>
      <c r="C101" s="2"/>
      <c r="D101" s="2"/>
      <c r="E101" s="2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">
      <c r="A102" s="2"/>
      <c r="B102" s="2"/>
      <c r="C102" s="2"/>
      <c r="D102" s="2"/>
      <c r="E102" s="2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">
      <c r="A103" s="2"/>
      <c r="B103" s="2"/>
      <c r="C103" s="2"/>
      <c r="D103" s="2"/>
      <c r="E103" s="2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">
      <c r="A104" s="2"/>
      <c r="B104" s="2"/>
      <c r="C104" s="2"/>
      <c r="D104" s="2"/>
      <c r="E104" s="2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">
      <c r="A105" s="2"/>
      <c r="B105" s="2"/>
      <c r="C105" s="2"/>
      <c r="D105" s="2"/>
      <c r="E105" s="2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">
      <c r="A106" s="2"/>
      <c r="B106" s="2"/>
      <c r="C106" s="2"/>
      <c r="D106" s="2"/>
      <c r="E106" s="2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">
      <c r="A107" s="2"/>
      <c r="B107" s="2"/>
      <c r="C107" s="2"/>
      <c r="D107" s="2"/>
      <c r="E107" s="2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">
      <c r="A108" s="2"/>
      <c r="B108" s="2"/>
      <c r="C108" s="2"/>
      <c r="D108" s="2"/>
      <c r="E108" s="2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">
      <c r="A109" s="2"/>
      <c r="B109" s="2"/>
      <c r="C109" s="2"/>
      <c r="D109" s="2"/>
      <c r="E109" s="2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">
      <c r="A110" s="2"/>
      <c r="B110" s="2"/>
      <c r="C110" s="2"/>
      <c r="D110" s="2"/>
      <c r="E110" s="2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">
      <c r="A111" s="2"/>
      <c r="B111" s="2"/>
      <c r="C111" s="2"/>
      <c r="D111" s="2"/>
      <c r="E111" s="2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">
      <c r="A112" s="2"/>
      <c r="B112" s="2"/>
      <c r="C112" s="2"/>
      <c r="D112" s="2"/>
      <c r="E112" s="2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">
      <c r="A113" s="2"/>
      <c r="B113" s="2"/>
      <c r="C113" s="2"/>
      <c r="D113" s="2"/>
      <c r="E113" s="2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">
      <c r="A114" s="2"/>
      <c r="B114" s="2"/>
      <c r="C114" s="2"/>
      <c r="D114" s="2"/>
      <c r="E114" s="2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">
      <c r="A115" s="2"/>
      <c r="B115" s="2"/>
      <c r="C115" s="2"/>
      <c r="D115" s="2"/>
      <c r="E115" s="2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">
      <c r="A116" s="2"/>
      <c r="B116" s="2"/>
      <c r="C116" s="2"/>
      <c r="D116" s="2"/>
      <c r="E116" s="2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">
      <c r="A117" s="2"/>
      <c r="B117" s="2"/>
      <c r="C117" s="2"/>
      <c r="D117" s="2"/>
      <c r="E117" s="2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">
      <c r="A118" s="2"/>
      <c r="B118" s="2"/>
      <c r="C118" s="2"/>
      <c r="D118" s="2"/>
      <c r="E118" s="2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">
      <c r="A119" s="2"/>
      <c r="B119" s="2"/>
      <c r="C119" s="2"/>
      <c r="D119" s="2"/>
      <c r="E119" s="2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">
      <c r="A120" s="2"/>
      <c r="B120" s="2"/>
      <c r="C120" s="2"/>
      <c r="D120" s="2"/>
      <c r="E120" s="2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">
      <c r="A121" s="2"/>
      <c r="B121" s="2"/>
      <c r="C121" s="2"/>
      <c r="D121" s="2"/>
      <c r="E121" s="2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">
      <c r="A122" s="2"/>
      <c r="B122" s="2"/>
      <c r="C122" s="2"/>
      <c r="D122" s="2"/>
      <c r="E122" s="2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">
      <c r="A123" s="2"/>
      <c r="B123" s="2"/>
      <c r="C123" s="2"/>
      <c r="D123" s="2"/>
      <c r="E123" s="2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">
      <c r="A124" s="2"/>
      <c r="B124" s="2"/>
      <c r="C124" s="2"/>
      <c r="D124" s="2"/>
      <c r="E124" s="2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">
      <c r="A125" s="2"/>
      <c r="B125" s="2"/>
      <c r="C125" s="2"/>
      <c r="D125" s="2"/>
      <c r="E125" s="2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">
      <c r="A126" s="2"/>
      <c r="B126" s="2"/>
      <c r="C126" s="2"/>
      <c r="D126" s="2"/>
      <c r="E126" s="2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">
      <c r="A127" s="2"/>
      <c r="B127" s="2"/>
      <c r="C127" s="2"/>
      <c r="D127" s="2"/>
      <c r="E127" s="2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">
      <c r="A128" s="2"/>
      <c r="B128" s="2"/>
      <c r="C128" s="2"/>
      <c r="D128" s="2"/>
      <c r="E128" s="2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">
      <c r="A129" s="2"/>
      <c r="B129" s="2"/>
      <c r="C129" s="2"/>
      <c r="D129" s="2"/>
      <c r="E129" s="2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">
      <c r="A130" s="2"/>
      <c r="B130" s="2"/>
      <c r="C130" s="2"/>
      <c r="D130" s="2"/>
      <c r="E130" s="2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">
      <c r="A131" s="2"/>
      <c r="B131" s="2"/>
      <c r="C131" s="2"/>
      <c r="D131" s="2"/>
      <c r="E131" s="2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">
      <c r="A132" s="2"/>
      <c r="B132" s="2"/>
      <c r="C132" s="2"/>
      <c r="D132" s="2"/>
      <c r="E132" s="2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">
      <c r="A133" s="2"/>
      <c r="B133" s="2"/>
      <c r="C133" s="2"/>
      <c r="D133" s="2"/>
      <c r="E133" s="2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">
      <c r="A134" s="2"/>
      <c r="B134" s="2"/>
      <c r="C134" s="2"/>
      <c r="D134" s="2"/>
      <c r="E134" s="2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">
      <c r="A135" s="2"/>
      <c r="B135" s="2"/>
      <c r="C135" s="2"/>
      <c r="D135" s="2"/>
      <c r="E135" s="2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">
      <c r="A136" s="2"/>
      <c r="B136" s="2"/>
      <c r="C136" s="2"/>
      <c r="D136" s="2"/>
      <c r="E136" s="2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">
      <c r="A137" s="2"/>
      <c r="B137" s="2"/>
      <c r="C137" s="2"/>
      <c r="D137" s="2"/>
      <c r="E137" s="2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">
      <c r="A138" s="2"/>
      <c r="B138" s="2"/>
      <c r="C138" s="2"/>
      <c r="D138" s="2"/>
      <c r="E138" s="2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">
      <c r="A139" s="2"/>
      <c r="B139" s="2"/>
      <c r="C139" s="2"/>
      <c r="D139" s="2"/>
      <c r="E139" s="2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">
      <c r="A140" s="2"/>
      <c r="B140" s="2"/>
      <c r="C140" s="2"/>
      <c r="D140" s="2"/>
      <c r="E140" s="2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">
      <c r="A141" s="2"/>
      <c r="B141" s="2"/>
      <c r="C141" s="2"/>
      <c r="D141" s="2"/>
      <c r="E141" s="2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">
      <c r="A142" s="2"/>
      <c r="B142" s="2"/>
      <c r="C142" s="2"/>
      <c r="D142" s="2"/>
      <c r="E142" s="2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">
      <c r="A143" s="2"/>
      <c r="B143" s="2"/>
      <c r="C143" s="2"/>
      <c r="D143" s="2"/>
      <c r="E143" s="2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">
      <c r="A144" s="2"/>
      <c r="B144" s="2"/>
      <c r="C144" s="2"/>
      <c r="D144" s="2"/>
      <c r="E144" s="2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">
      <c r="A145" s="2"/>
      <c r="B145" s="2"/>
      <c r="C145" s="2"/>
      <c r="D145" s="2"/>
      <c r="E145" s="2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">
      <c r="A146" s="2"/>
      <c r="B146" s="2"/>
      <c r="C146" s="2"/>
      <c r="D146" s="2"/>
      <c r="E146" s="2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">
      <c r="A147" s="2"/>
      <c r="B147" s="2"/>
      <c r="C147" s="2"/>
      <c r="D147" s="2"/>
      <c r="E147" s="2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">
      <c r="A148" s="2"/>
      <c r="B148" s="2"/>
      <c r="C148" s="2"/>
      <c r="D148" s="2"/>
      <c r="E148" s="2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">
      <c r="A149" s="2"/>
      <c r="B149" s="2"/>
      <c r="C149" s="2"/>
      <c r="D149" s="2"/>
      <c r="E149" s="2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">
      <c r="A150" s="2"/>
      <c r="B150" s="2"/>
      <c r="C150" s="2"/>
      <c r="D150" s="2"/>
      <c r="E150" s="2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">
      <c r="A151" s="2"/>
      <c r="B151" s="2"/>
      <c r="C151" s="2"/>
      <c r="D151" s="2"/>
      <c r="E151" s="2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">
      <c r="A152" s="2"/>
      <c r="B152" s="2"/>
      <c r="C152" s="2"/>
      <c r="D152" s="2"/>
      <c r="E152" s="2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">
      <c r="A153" s="2"/>
      <c r="B153" s="2"/>
      <c r="C153" s="2"/>
      <c r="D153" s="2"/>
      <c r="E153" s="2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">
      <c r="A154" s="2"/>
      <c r="B154" s="2"/>
      <c r="C154" s="2"/>
      <c r="D154" s="2"/>
      <c r="E154" s="2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">
      <c r="A155" s="2"/>
      <c r="B155" s="2"/>
      <c r="C155" s="2"/>
      <c r="D155" s="2"/>
      <c r="E155" s="2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">
      <c r="A156" s="2"/>
      <c r="B156" s="2"/>
      <c r="C156" s="2"/>
      <c r="D156" s="2"/>
      <c r="E156" s="2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">
      <c r="A157" s="2"/>
      <c r="B157" s="2"/>
      <c r="C157" s="2"/>
      <c r="D157" s="2"/>
      <c r="E157" s="2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">
      <c r="A158" s="2"/>
      <c r="B158" s="2"/>
      <c r="C158" s="2"/>
      <c r="D158" s="2"/>
      <c r="E158" s="2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">
      <c r="A159" s="2"/>
      <c r="B159" s="2"/>
      <c r="C159" s="2"/>
      <c r="D159" s="2"/>
      <c r="E159" s="2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">
      <c r="A160" s="2"/>
      <c r="B160" s="2"/>
      <c r="C160" s="2"/>
      <c r="D160" s="2"/>
      <c r="E160" s="2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">
      <c r="A161" s="2"/>
      <c r="B161" s="2"/>
      <c r="C161" s="2"/>
      <c r="D161" s="2"/>
      <c r="E161" s="2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">
      <c r="A162" s="2"/>
      <c r="B162" s="2"/>
      <c r="C162" s="2"/>
      <c r="D162" s="2"/>
      <c r="E162" s="2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">
      <c r="A163" s="2"/>
      <c r="B163" s="2"/>
      <c r="C163" s="2"/>
      <c r="D163" s="2"/>
      <c r="E163" s="2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">
      <c r="A164" s="2"/>
      <c r="B164" s="2"/>
      <c r="C164" s="2"/>
      <c r="D164" s="2"/>
      <c r="E164" s="2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">
      <c r="A165" s="2"/>
      <c r="B165" s="2"/>
      <c r="C165" s="2"/>
      <c r="D165" s="2"/>
      <c r="E165" s="2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">
      <c r="A166" s="2"/>
      <c r="B166" s="2"/>
      <c r="C166" s="2"/>
      <c r="D166" s="2"/>
      <c r="E166" s="2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">
      <c r="A167" s="2"/>
      <c r="B167" s="2"/>
      <c r="C167" s="2"/>
      <c r="D167" s="2"/>
      <c r="E167" s="2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">
      <c r="A168" s="2"/>
      <c r="B168" s="2"/>
      <c r="C168" s="2"/>
      <c r="D168" s="2"/>
      <c r="E168" s="2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">
      <c r="A169" s="2"/>
      <c r="B169" s="2"/>
      <c r="C169" s="2"/>
      <c r="D169" s="2"/>
      <c r="E169" s="2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">
      <c r="A170" s="2"/>
      <c r="B170" s="2"/>
      <c r="C170" s="2"/>
      <c r="D170" s="2"/>
      <c r="E170" s="2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">
      <c r="A171" s="2"/>
      <c r="B171" s="2"/>
      <c r="C171" s="2"/>
      <c r="D171" s="2"/>
      <c r="E171" s="2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">
      <c r="A172" s="2"/>
      <c r="B172" s="2"/>
      <c r="C172" s="2"/>
      <c r="D172" s="2"/>
      <c r="E172" s="2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">
      <c r="A173" s="2"/>
      <c r="B173" s="2"/>
      <c r="C173" s="2"/>
      <c r="D173" s="2"/>
      <c r="E173" s="2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">
      <c r="A174" s="2"/>
      <c r="B174" s="2"/>
      <c r="C174" s="2"/>
      <c r="D174" s="2"/>
      <c r="E174" s="2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">
      <c r="A175" s="2"/>
      <c r="B175" s="2"/>
      <c r="C175" s="2"/>
      <c r="D175" s="2"/>
      <c r="E175" s="2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">
      <c r="A176" s="2"/>
      <c r="B176" s="2"/>
      <c r="C176" s="2"/>
      <c r="D176" s="2"/>
      <c r="E176" s="2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">
      <c r="A177" s="2"/>
      <c r="B177" s="2"/>
      <c r="C177" s="2"/>
      <c r="D177" s="2"/>
      <c r="E177" s="2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">
      <c r="A178" s="2"/>
      <c r="B178" s="2"/>
      <c r="C178" s="2"/>
      <c r="D178" s="2"/>
      <c r="E178" s="2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">
      <c r="A179" s="2"/>
      <c r="B179" s="2"/>
      <c r="C179" s="2"/>
      <c r="D179" s="2"/>
      <c r="E179" s="2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">
      <c r="A180" s="2"/>
      <c r="B180" s="2"/>
      <c r="C180" s="2"/>
      <c r="D180" s="2"/>
      <c r="E180" s="2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">
      <c r="A181" s="2"/>
      <c r="B181" s="2"/>
      <c r="C181" s="2"/>
      <c r="D181" s="2"/>
      <c r="E181" s="2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">
      <c r="A182" s="2"/>
      <c r="B182" s="2"/>
      <c r="C182" s="2"/>
      <c r="D182" s="2"/>
      <c r="E182" s="2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">
      <c r="A183" s="2"/>
      <c r="B183" s="2"/>
      <c r="C183" s="2"/>
      <c r="D183" s="2"/>
      <c r="E183" s="2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">
      <c r="A184" s="2"/>
      <c r="B184" s="2"/>
      <c r="C184" s="2"/>
      <c r="D184" s="2"/>
      <c r="E184" s="2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">
      <c r="A185" s="2"/>
      <c r="B185" s="2"/>
      <c r="C185" s="2"/>
      <c r="D185" s="2"/>
      <c r="E185" s="2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">
      <c r="A186" s="2"/>
      <c r="B186" s="2"/>
      <c r="C186" s="2"/>
      <c r="D186" s="2"/>
      <c r="E186" s="2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">
      <c r="A187" s="2"/>
      <c r="B187" s="2"/>
      <c r="C187" s="2"/>
      <c r="D187" s="2"/>
      <c r="E187" s="2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">
      <c r="A188" s="2"/>
      <c r="B188" s="2"/>
      <c r="C188" s="2"/>
      <c r="D188" s="2"/>
      <c r="E188" s="2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">
      <c r="A189" s="2"/>
      <c r="B189" s="2"/>
      <c r="C189" s="2"/>
      <c r="D189" s="2"/>
      <c r="E189" s="2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">
      <c r="A190" s="2"/>
      <c r="B190" s="2"/>
      <c r="C190" s="2"/>
      <c r="D190" s="2"/>
      <c r="E190" s="2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">
      <c r="A191" s="2"/>
      <c r="B191" s="2"/>
      <c r="C191" s="2"/>
      <c r="D191" s="2"/>
      <c r="E191" s="2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">
      <c r="A192" s="2"/>
      <c r="B192" s="2"/>
      <c r="C192" s="2"/>
      <c r="D192" s="2"/>
      <c r="E192" s="2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">
      <c r="A193" s="2"/>
      <c r="B193" s="2"/>
      <c r="C193" s="2"/>
      <c r="D193" s="2"/>
      <c r="E193" s="2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">
      <c r="A194" s="2"/>
      <c r="B194" s="2"/>
      <c r="C194" s="2"/>
      <c r="D194" s="2"/>
      <c r="E194" s="2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">
      <c r="A195" s="2"/>
      <c r="B195" s="2"/>
      <c r="C195" s="2"/>
      <c r="D195" s="2"/>
      <c r="E195" s="2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">
      <c r="A196" s="2"/>
      <c r="B196" s="2"/>
      <c r="C196" s="2"/>
      <c r="D196" s="2"/>
      <c r="E196" s="2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">
      <c r="A197" s="2"/>
      <c r="B197" s="2"/>
      <c r="C197" s="2"/>
      <c r="D197" s="2"/>
      <c r="E197" s="2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">
      <c r="A198" s="2"/>
      <c r="B198" s="2"/>
      <c r="C198" s="2"/>
      <c r="D198" s="2"/>
      <c r="E198" s="2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">
      <c r="A199" s="2"/>
      <c r="B199" s="2"/>
      <c r="C199" s="2"/>
      <c r="D199" s="2"/>
      <c r="E199" s="2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">
      <c r="A200" s="2"/>
      <c r="B200" s="2"/>
      <c r="C200" s="2"/>
      <c r="D200" s="2"/>
      <c r="E200" s="2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">
      <c r="A201" s="2"/>
      <c r="B201" s="2"/>
      <c r="C201" s="2"/>
      <c r="D201" s="2"/>
      <c r="E201" s="2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">
      <c r="A202" s="2"/>
      <c r="B202" s="2"/>
      <c r="C202" s="2"/>
      <c r="D202" s="2"/>
      <c r="E202" s="2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">
      <c r="A203" s="2"/>
      <c r="B203" s="2"/>
      <c r="C203" s="2"/>
      <c r="D203" s="2"/>
      <c r="E203" s="2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">
      <c r="A204" s="2"/>
      <c r="B204" s="2"/>
      <c r="C204" s="2"/>
      <c r="D204" s="2"/>
      <c r="E204" s="2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">
      <c r="A205" s="2"/>
      <c r="B205" s="2"/>
      <c r="C205" s="2"/>
      <c r="D205" s="2"/>
      <c r="E205" s="2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">
      <c r="A206" s="2"/>
      <c r="B206" s="2"/>
      <c r="C206" s="2"/>
      <c r="D206" s="2"/>
      <c r="E206" s="2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">
      <c r="A207" s="2"/>
      <c r="B207" s="2"/>
      <c r="C207" s="2"/>
      <c r="D207" s="2"/>
      <c r="E207" s="2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">
      <c r="A208" s="2"/>
      <c r="B208" s="2"/>
      <c r="C208" s="2"/>
      <c r="D208" s="2"/>
      <c r="E208" s="2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">
      <c r="A209" s="2"/>
      <c r="B209" s="2"/>
      <c r="C209" s="2"/>
      <c r="D209" s="2"/>
      <c r="E209" s="2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">
      <c r="A210" s="2"/>
      <c r="B210" s="2"/>
      <c r="C210" s="2"/>
      <c r="D210" s="2"/>
      <c r="E210" s="2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">
      <c r="A211" s="2"/>
      <c r="B211" s="2"/>
      <c r="C211" s="2"/>
      <c r="D211" s="2"/>
      <c r="E211" s="2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">
      <c r="A212" s="2"/>
      <c r="B212" s="2"/>
      <c r="C212" s="2"/>
      <c r="D212" s="2"/>
      <c r="E212" s="2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">
      <c r="A213" s="2"/>
      <c r="B213" s="2"/>
      <c r="C213" s="2"/>
      <c r="D213" s="2"/>
      <c r="E213" s="2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">
      <c r="A214" s="2"/>
      <c r="B214" s="2"/>
      <c r="C214" s="2"/>
      <c r="D214" s="2"/>
      <c r="E214" s="2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">
      <c r="A215" s="2"/>
      <c r="B215" s="2"/>
      <c r="C215" s="2"/>
      <c r="D215" s="2"/>
      <c r="E215" s="2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">
      <c r="A216" s="2"/>
      <c r="B216" s="2"/>
      <c r="C216" s="2"/>
      <c r="D216" s="2"/>
      <c r="E216" s="2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">
      <c r="A217" s="2"/>
      <c r="B217" s="2"/>
      <c r="C217" s="2"/>
      <c r="D217" s="2"/>
      <c r="E217" s="2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">
      <c r="A218" s="2"/>
      <c r="B218" s="2"/>
      <c r="C218" s="2"/>
      <c r="D218" s="2"/>
      <c r="E218" s="2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">
      <c r="A219" s="2"/>
      <c r="B219" s="2"/>
      <c r="C219" s="2"/>
      <c r="D219" s="2"/>
      <c r="E219" s="2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">
      <c r="A220" s="2"/>
      <c r="B220" s="2"/>
      <c r="C220" s="2"/>
      <c r="D220" s="2"/>
      <c r="E220" s="2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">
      <c r="A221" s="2"/>
      <c r="B221" s="2"/>
      <c r="C221" s="2"/>
      <c r="D221" s="2"/>
      <c r="E221" s="2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">
      <c r="A222" s="2"/>
      <c r="B222" s="2"/>
      <c r="C222" s="2"/>
      <c r="D222" s="2"/>
      <c r="E222" s="2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">
      <c r="A223" s="2"/>
      <c r="B223" s="2"/>
      <c r="C223" s="2"/>
      <c r="D223" s="2"/>
      <c r="E223" s="2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">
      <c r="A224" s="2"/>
      <c r="B224" s="2"/>
      <c r="C224" s="2"/>
      <c r="D224" s="2"/>
      <c r="E224" s="2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">
      <c r="A225" s="2"/>
      <c r="B225" s="2"/>
      <c r="C225" s="2"/>
      <c r="D225" s="2"/>
      <c r="E225" s="2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">
      <c r="A226" s="2"/>
      <c r="B226" s="2"/>
      <c r="C226" s="2"/>
      <c r="D226" s="2"/>
      <c r="E226" s="2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">
      <c r="A227" s="2"/>
      <c r="B227" s="2"/>
      <c r="C227" s="2"/>
      <c r="D227" s="2"/>
      <c r="E227" s="2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">
      <c r="A228" s="2"/>
      <c r="B228" s="2"/>
      <c r="C228" s="2"/>
      <c r="D228" s="2"/>
      <c r="E228" s="2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">
      <c r="A229" s="2"/>
      <c r="B229" s="2"/>
      <c r="C229" s="2"/>
      <c r="D229" s="2"/>
      <c r="E229" s="2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">
      <c r="A230" s="2"/>
      <c r="B230" s="2"/>
      <c r="C230" s="2"/>
      <c r="D230" s="2"/>
      <c r="E230" s="2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">
      <c r="A231" s="2"/>
      <c r="B231" s="2"/>
      <c r="C231" s="2"/>
      <c r="D231" s="2"/>
      <c r="E231" s="2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">
      <c r="A232" s="2"/>
      <c r="B232" s="2"/>
      <c r="C232" s="2"/>
      <c r="D232" s="2"/>
      <c r="E232" s="2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">
      <c r="A233" s="2"/>
      <c r="B233" s="2"/>
      <c r="C233" s="2"/>
      <c r="D233" s="2"/>
      <c r="E233" s="2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">
      <c r="A234" s="2"/>
      <c r="B234" s="2"/>
      <c r="C234" s="2"/>
      <c r="D234" s="2"/>
      <c r="E234" s="2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">
      <c r="A235" s="2"/>
      <c r="B235" s="2"/>
      <c r="C235" s="2"/>
      <c r="D235" s="2"/>
      <c r="E235" s="2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">
      <c r="A236" s="2"/>
      <c r="B236" s="2"/>
      <c r="C236" s="2"/>
      <c r="D236" s="2"/>
      <c r="E236" s="2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">
      <c r="A237" s="2"/>
      <c r="B237" s="2"/>
      <c r="C237" s="2"/>
      <c r="D237" s="2"/>
      <c r="E237" s="2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">
      <c r="A238" s="2"/>
      <c r="B238" s="2"/>
      <c r="C238" s="2"/>
      <c r="D238" s="2"/>
      <c r="E238" s="2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">
      <c r="A239" s="2"/>
      <c r="B239" s="2"/>
      <c r="C239" s="2"/>
      <c r="D239" s="2"/>
      <c r="E239" s="2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">
      <c r="A240" s="2"/>
      <c r="B240" s="2"/>
      <c r="C240" s="2"/>
      <c r="D240" s="2"/>
      <c r="E240" s="2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">
      <c r="A241" s="2"/>
      <c r="B241" s="2"/>
      <c r="C241" s="2"/>
      <c r="D241" s="2"/>
      <c r="E241" s="2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">
      <c r="A242" s="2"/>
      <c r="B242" s="2"/>
      <c r="C242" s="2"/>
      <c r="D242" s="2"/>
      <c r="E242" s="2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">
      <c r="A243" s="2"/>
      <c r="B243" s="2"/>
      <c r="C243" s="2"/>
      <c r="D243" s="2"/>
      <c r="E243" s="2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">
      <c r="A244" s="2"/>
      <c r="B244" s="2"/>
      <c r="C244" s="2"/>
      <c r="D244" s="2"/>
      <c r="E244" s="2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">
      <c r="A245" s="2"/>
      <c r="B245" s="2"/>
      <c r="C245" s="2"/>
      <c r="D245" s="2"/>
      <c r="E245" s="2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">
      <c r="A246" s="2"/>
      <c r="B246" s="2"/>
      <c r="C246" s="2"/>
      <c r="D246" s="2"/>
      <c r="E246" s="2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">
      <c r="A247" s="2"/>
      <c r="B247" s="2"/>
      <c r="C247" s="2"/>
      <c r="D247" s="2"/>
      <c r="E247" s="2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">
      <c r="A248" s="2"/>
      <c r="B248" s="2"/>
      <c r="C248" s="2"/>
      <c r="D248" s="2"/>
      <c r="E248" s="2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">
      <c r="A249" s="2"/>
      <c r="B249" s="2"/>
      <c r="C249" s="2"/>
      <c r="D249" s="2"/>
      <c r="E249" s="2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">
      <c r="A250" s="2"/>
      <c r="B250" s="2"/>
      <c r="C250" s="2"/>
      <c r="D250" s="2"/>
      <c r="E250" s="2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">
      <c r="A251" s="2"/>
      <c r="B251" s="2"/>
      <c r="C251" s="2"/>
      <c r="D251" s="2"/>
      <c r="E251" s="2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">
      <c r="A252" s="2"/>
      <c r="B252" s="2"/>
      <c r="C252" s="2"/>
      <c r="D252" s="2"/>
      <c r="E252" s="2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">
      <c r="A253" s="2"/>
      <c r="B253" s="2"/>
      <c r="C253" s="2"/>
      <c r="D253" s="2"/>
      <c r="E253" s="2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">
      <c r="A254" s="2"/>
      <c r="B254" s="2"/>
      <c r="C254" s="2"/>
      <c r="D254" s="2"/>
      <c r="E254" s="2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">
      <c r="A255" s="2"/>
      <c r="B255" s="2"/>
      <c r="C255" s="2"/>
      <c r="D255" s="2"/>
      <c r="E255" s="2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">
      <c r="A256" s="2"/>
      <c r="B256" s="2"/>
      <c r="C256" s="2"/>
      <c r="D256" s="2"/>
      <c r="E256" s="2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">
      <c r="A257" s="2"/>
      <c r="B257" s="2"/>
      <c r="C257" s="2"/>
      <c r="D257" s="2"/>
      <c r="E257" s="2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">
      <c r="A258" s="2"/>
      <c r="B258" s="2"/>
      <c r="C258" s="2"/>
      <c r="D258" s="2"/>
      <c r="E258" s="2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">
      <c r="A259" s="2"/>
      <c r="B259" s="2"/>
      <c r="C259" s="2"/>
      <c r="D259" s="2"/>
      <c r="E259" s="2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">
      <c r="A260" s="2"/>
      <c r="B260" s="2"/>
      <c r="C260" s="2"/>
      <c r="D260" s="2"/>
      <c r="E260" s="2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">
      <c r="A261" s="2"/>
      <c r="B261" s="2"/>
      <c r="C261" s="2"/>
      <c r="D261" s="2"/>
      <c r="E261" s="2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">
      <c r="A262" s="2"/>
      <c r="B262" s="2"/>
      <c r="C262" s="2"/>
      <c r="D262" s="2"/>
      <c r="E262" s="2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">
      <c r="A263" s="2"/>
      <c r="B263" s="2"/>
      <c r="C263" s="2"/>
      <c r="D263" s="2"/>
      <c r="E263" s="2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">
      <c r="A264" s="2"/>
      <c r="B264" s="2"/>
      <c r="C264" s="2"/>
      <c r="D264" s="2"/>
      <c r="E264" s="2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">
      <c r="A265" s="2"/>
      <c r="B265" s="2"/>
      <c r="C265" s="2"/>
      <c r="D265" s="2"/>
      <c r="E265" s="2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">
      <c r="A266" s="2"/>
      <c r="B266" s="2"/>
      <c r="C266" s="2"/>
      <c r="D266" s="2"/>
      <c r="E266" s="2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">
      <c r="A267" s="2"/>
      <c r="B267" s="2"/>
      <c r="C267" s="2"/>
      <c r="D267" s="2"/>
      <c r="E267" s="2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">
      <c r="A268" s="2"/>
      <c r="B268" s="2"/>
      <c r="C268" s="2"/>
      <c r="D268" s="2"/>
      <c r="E268" s="2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">
      <c r="A269" s="2"/>
      <c r="B269" s="2"/>
      <c r="C269" s="2"/>
      <c r="D269" s="2"/>
      <c r="E269" s="2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">
      <c r="A270" s="2"/>
      <c r="B270" s="2"/>
      <c r="C270" s="2"/>
      <c r="D270" s="2"/>
      <c r="E270" s="2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">
      <c r="A271" s="2"/>
      <c r="B271" s="2"/>
      <c r="C271" s="2"/>
      <c r="D271" s="2"/>
      <c r="E271" s="2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">
      <c r="A272" s="2"/>
      <c r="B272" s="2"/>
      <c r="C272" s="2"/>
      <c r="D272" s="2"/>
      <c r="E272" s="2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">
      <c r="A273" s="2"/>
      <c r="B273" s="2"/>
      <c r="C273" s="2"/>
      <c r="D273" s="2"/>
      <c r="E273" s="2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">
      <c r="A274" s="2"/>
      <c r="B274" s="2"/>
      <c r="C274" s="2"/>
      <c r="D274" s="2"/>
      <c r="E274" s="2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">
      <c r="A275" s="2"/>
      <c r="B275" s="2"/>
      <c r="C275" s="2"/>
      <c r="D275" s="2"/>
      <c r="E275" s="2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">
      <c r="A276" s="2"/>
      <c r="B276" s="2"/>
      <c r="C276" s="2"/>
      <c r="D276" s="2"/>
      <c r="E276" s="2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">
      <c r="A277" s="2"/>
      <c r="B277" s="2"/>
      <c r="C277" s="2"/>
      <c r="D277" s="2"/>
      <c r="E277" s="2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">
      <c r="A278" s="2"/>
      <c r="B278" s="2"/>
      <c r="C278" s="2"/>
      <c r="D278" s="2"/>
      <c r="E278" s="2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">
      <c r="A279" s="2"/>
      <c r="B279" s="2"/>
      <c r="C279" s="2"/>
      <c r="D279" s="2"/>
      <c r="E279" s="2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">
      <c r="A280" s="2"/>
      <c r="B280" s="2"/>
      <c r="C280" s="2"/>
      <c r="D280" s="2"/>
      <c r="E280" s="2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">
      <c r="A281" s="2"/>
      <c r="B281" s="2"/>
      <c r="C281" s="2"/>
      <c r="D281" s="2"/>
      <c r="E281" s="2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">
      <c r="A282" s="2"/>
      <c r="B282" s="2"/>
      <c r="C282" s="2"/>
      <c r="D282" s="2"/>
      <c r="E282" s="2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">
      <c r="A283" s="2"/>
      <c r="B283" s="2"/>
      <c r="C283" s="2"/>
      <c r="D283" s="2"/>
      <c r="E283" s="2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">
      <c r="A284" s="2"/>
      <c r="B284" s="2"/>
      <c r="C284" s="2"/>
      <c r="D284" s="2"/>
      <c r="E284" s="2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">
      <c r="A285" s="2"/>
      <c r="B285" s="2"/>
      <c r="C285" s="2"/>
      <c r="D285" s="2"/>
      <c r="E285" s="2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">
      <c r="A286" s="2"/>
      <c r="B286" s="2"/>
      <c r="C286" s="2"/>
      <c r="D286" s="2"/>
      <c r="E286" s="2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">
      <c r="A287" s="2"/>
      <c r="B287" s="2"/>
      <c r="C287" s="2"/>
      <c r="D287" s="2"/>
      <c r="E287" s="2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">
      <c r="A288" s="2"/>
      <c r="B288" s="2"/>
      <c r="C288" s="2"/>
      <c r="D288" s="2"/>
      <c r="E288" s="2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">
      <c r="A289" s="2"/>
      <c r="B289" s="2"/>
      <c r="C289" s="2"/>
      <c r="D289" s="2"/>
      <c r="E289" s="2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">
      <c r="A290" s="2"/>
      <c r="B290" s="2"/>
      <c r="C290" s="2"/>
      <c r="D290" s="2"/>
      <c r="E290" s="2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">
      <c r="A291" s="2"/>
      <c r="B291" s="2"/>
      <c r="C291" s="2"/>
      <c r="D291" s="2"/>
      <c r="E291" s="2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">
      <c r="A292" s="2"/>
      <c r="B292" s="2"/>
      <c r="C292" s="2"/>
      <c r="D292" s="2"/>
      <c r="E292" s="2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">
      <c r="A293" s="2"/>
      <c r="B293" s="2"/>
      <c r="C293" s="2"/>
      <c r="D293" s="2"/>
      <c r="E293" s="2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">
      <c r="A294" s="2"/>
      <c r="B294" s="2"/>
      <c r="C294" s="2"/>
      <c r="D294" s="2"/>
      <c r="E294" s="2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">
      <c r="A295" s="2"/>
      <c r="B295" s="2"/>
      <c r="C295" s="2"/>
      <c r="D295" s="2"/>
      <c r="E295" s="2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">
      <c r="A296" s="2"/>
      <c r="B296" s="2"/>
      <c r="C296" s="2"/>
      <c r="D296" s="2"/>
      <c r="E296" s="2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">
      <c r="A297" s="2"/>
      <c r="B297" s="2"/>
      <c r="C297" s="2"/>
      <c r="D297" s="2"/>
      <c r="E297" s="2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">
      <c r="A298" s="2"/>
      <c r="B298" s="2"/>
      <c r="C298" s="2"/>
      <c r="D298" s="2"/>
      <c r="E298" s="2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">
      <c r="A299" s="2"/>
      <c r="B299" s="2"/>
      <c r="C299" s="2"/>
      <c r="D299" s="2"/>
      <c r="E299" s="2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">
      <c r="A300" s="2"/>
      <c r="B300" s="2"/>
      <c r="C300" s="2"/>
      <c r="D300" s="2"/>
      <c r="E300" s="2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">
      <c r="A301" s="2"/>
      <c r="B301" s="2"/>
      <c r="C301" s="2"/>
      <c r="D301" s="2"/>
      <c r="E301" s="2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">
      <c r="A302" s="2"/>
      <c r="B302" s="2"/>
      <c r="C302" s="2"/>
      <c r="D302" s="2"/>
      <c r="E302" s="2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">
      <c r="A303" s="2"/>
      <c r="B303" s="2"/>
      <c r="C303" s="2"/>
      <c r="D303" s="2"/>
      <c r="E303" s="2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">
      <c r="A304" s="2"/>
      <c r="B304" s="2"/>
      <c r="C304" s="2"/>
      <c r="D304" s="2"/>
      <c r="E304" s="2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">
      <c r="A305" s="2"/>
      <c r="B305" s="2"/>
      <c r="C305" s="2"/>
      <c r="D305" s="2"/>
      <c r="E305" s="2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">
      <c r="A306" s="2"/>
      <c r="B306" s="2"/>
      <c r="C306" s="2"/>
      <c r="D306" s="2"/>
      <c r="E306" s="2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">
      <c r="A307" s="2"/>
      <c r="B307" s="2"/>
      <c r="C307" s="2"/>
      <c r="D307" s="2"/>
      <c r="E307" s="2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">
      <c r="A308" s="2"/>
      <c r="B308" s="2"/>
      <c r="C308" s="2"/>
      <c r="D308" s="2"/>
      <c r="E308" s="2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">
      <c r="A309" s="2"/>
      <c r="B309" s="2"/>
      <c r="C309" s="2"/>
      <c r="D309" s="2"/>
      <c r="E309" s="2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">
      <c r="A310" s="2"/>
      <c r="B310" s="2"/>
      <c r="C310" s="2"/>
      <c r="D310" s="2"/>
      <c r="E310" s="2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">
      <c r="A311" s="2"/>
      <c r="B311" s="2"/>
      <c r="C311" s="2"/>
      <c r="D311" s="2"/>
      <c r="E311" s="2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">
      <c r="A312" s="2"/>
      <c r="B312" s="2"/>
      <c r="C312" s="2"/>
      <c r="D312" s="2"/>
      <c r="E312" s="2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">
      <c r="A313" s="2"/>
      <c r="B313" s="2"/>
      <c r="C313" s="2"/>
      <c r="D313" s="2"/>
      <c r="E313" s="2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">
      <c r="A314" s="2"/>
      <c r="B314" s="2"/>
      <c r="C314" s="2"/>
      <c r="D314" s="2"/>
      <c r="E314" s="2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">
      <c r="A315" s="2"/>
      <c r="B315" s="2"/>
      <c r="C315" s="2"/>
      <c r="D315" s="2"/>
      <c r="E315" s="2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">
      <c r="A316" s="2"/>
      <c r="B316" s="2"/>
      <c r="C316" s="2"/>
      <c r="D316" s="2"/>
      <c r="E316" s="2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">
      <c r="A317" s="2"/>
      <c r="B317" s="2"/>
      <c r="C317" s="2"/>
      <c r="D317" s="2"/>
      <c r="E317" s="2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">
      <c r="A318" s="2"/>
      <c r="B318" s="2"/>
      <c r="C318" s="2"/>
      <c r="D318" s="2"/>
      <c r="E318" s="2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">
      <c r="A319" s="2"/>
      <c r="B319" s="2"/>
      <c r="C319" s="2"/>
      <c r="D319" s="2"/>
      <c r="E319" s="2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">
      <c r="A320" s="2"/>
      <c r="B320" s="2"/>
      <c r="C320" s="2"/>
      <c r="D320" s="2"/>
      <c r="E320" s="2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">
      <c r="A321" s="2"/>
      <c r="B321" s="2"/>
      <c r="C321" s="2"/>
      <c r="D321" s="2"/>
      <c r="E321" s="2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">
      <c r="A322" s="2"/>
      <c r="B322" s="2"/>
      <c r="C322" s="2"/>
      <c r="D322" s="2"/>
      <c r="E322" s="2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">
      <c r="A323" s="2"/>
      <c r="B323" s="2"/>
      <c r="C323" s="2"/>
      <c r="D323" s="2"/>
      <c r="E323" s="2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">
      <c r="A324" s="2"/>
      <c r="B324" s="2"/>
      <c r="C324" s="2"/>
      <c r="D324" s="2"/>
      <c r="E324" s="2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">
      <c r="A325" s="2"/>
      <c r="B325" s="2"/>
      <c r="C325" s="2"/>
      <c r="D325" s="2"/>
      <c r="E325" s="2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">
      <c r="A326" s="2"/>
      <c r="B326" s="2"/>
      <c r="C326" s="2"/>
      <c r="D326" s="2"/>
      <c r="E326" s="2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">
      <c r="A327" s="2"/>
      <c r="B327" s="2"/>
      <c r="C327" s="2"/>
      <c r="D327" s="2"/>
      <c r="E327" s="2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">
      <c r="A328" s="2"/>
      <c r="B328" s="2"/>
      <c r="C328" s="2"/>
      <c r="D328" s="2"/>
      <c r="E328" s="2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">
      <c r="A329" s="2"/>
      <c r="B329" s="2"/>
      <c r="C329" s="2"/>
      <c r="D329" s="2"/>
      <c r="E329" s="2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">
      <c r="A330" s="2"/>
      <c r="B330" s="2"/>
      <c r="C330" s="2"/>
      <c r="D330" s="2"/>
      <c r="E330" s="2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">
      <c r="A331" s="2"/>
      <c r="B331" s="2"/>
      <c r="C331" s="2"/>
      <c r="D331" s="2"/>
      <c r="E331" s="2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">
      <c r="A332" s="2"/>
      <c r="B332" s="2"/>
      <c r="C332" s="2"/>
      <c r="D332" s="2"/>
      <c r="E332" s="2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">
      <c r="A333" s="2"/>
      <c r="B333" s="2"/>
      <c r="C333" s="2"/>
      <c r="D333" s="2"/>
      <c r="E333" s="2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">
      <c r="A334" s="2"/>
      <c r="B334" s="2"/>
      <c r="C334" s="2"/>
      <c r="D334" s="2"/>
      <c r="E334" s="2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">
      <c r="A335" s="2"/>
      <c r="B335" s="2"/>
      <c r="C335" s="2"/>
      <c r="D335" s="2"/>
      <c r="E335" s="2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">
      <c r="A336" s="2"/>
      <c r="B336" s="2"/>
      <c r="C336" s="2"/>
      <c r="D336" s="2"/>
      <c r="E336" s="2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">
      <c r="A337" s="2"/>
      <c r="B337" s="2"/>
      <c r="C337" s="2"/>
      <c r="D337" s="2"/>
      <c r="E337" s="2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">
      <c r="A338" s="2"/>
      <c r="B338" s="2"/>
      <c r="C338" s="2"/>
      <c r="D338" s="2"/>
      <c r="E338" s="2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">
      <c r="A339" s="2"/>
      <c r="B339" s="2"/>
      <c r="C339" s="2"/>
      <c r="D339" s="2"/>
      <c r="E339" s="2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">
      <c r="A340" s="2"/>
      <c r="B340" s="2"/>
      <c r="C340" s="2"/>
      <c r="D340" s="2"/>
      <c r="E340" s="2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">
      <c r="A341" s="2"/>
      <c r="B341" s="2"/>
      <c r="C341" s="2"/>
      <c r="D341" s="2"/>
      <c r="E341" s="2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">
      <c r="A342" s="2"/>
      <c r="B342" s="2"/>
      <c r="C342" s="2"/>
      <c r="D342" s="2"/>
      <c r="E342" s="2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">
      <c r="A343" s="2"/>
      <c r="B343" s="2"/>
      <c r="C343" s="2"/>
      <c r="D343" s="2"/>
      <c r="E343" s="2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">
      <c r="A344" s="2"/>
      <c r="B344" s="2"/>
      <c r="C344" s="2"/>
      <c r="D344" s="2"/>
      <c r="E344" s="2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">
      <c r="A345" s="2"/>
      <c r="B345" s="2"/>
      <c r="C345" s="2"/>
      <c r="D345" s="2"/>
      <c r="E345" s="2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">
      <c r="A346" s="2"/>
      <c r="B346" s="2"/>
      <c r="C346" s="2"/>
      <c r="D346" s="2"/>
      <c r="E346" s="2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">
      <c r="A347" s="2"/>
      <c r="B347" s="2"/>
      <c r="C347" s="2"/>
      <c r="D347" s="2"/>
      <c r="E347" s="2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">
      <c r="A348" s="2"/>
      <c r="B348" s="2"/>
      <c r="C348" s="2"/>
      <c r="D348" s="2"/>
      <c r="E348" s="2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">
      <c r="A349" s="2"/>
      <c r="B349" s="2"/>
      <c r="C349" s="2"/>
      <c r="D349" s="2"/>
      <c r="E349" s="2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">
      <c r="A350" s="2"/>
      <c r="B350" s="2"/>
      <c r="C350" s="2"/>
      <c r="D350" s="2"/>
      <c r="E350" s="2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">
      <c r="A351" s="2"/>
      <c r="B351" s="2"/>
      <c r="C351" s="2"/>
      <c r="D351" s="2"/>
      <c r="E351" s="2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">
      <c r="A352" s="2"/>
      <c r="B352" s="2"/>
      <c r="C352" s="2"/>
      <c r="D352" s="2"/>
      <c r="E352" s="2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">
      <c r="A353" s="2"/>
      <c r="B353" s="2"/>
      <c r="C353" s="2"/>
      <c r="D353" s="2"/>
      <c r="E353" s="2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">
      <c r="A354" s="2"/>
      <c r="B354" s="2"/>
      <c r="C354" s="2"/>
      <c r="D354" s="2"/>
      <c r="E354" s="2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">
      <c r="A355" s="2"/>
      <c r="B355" s="2"/>
      <c r="C355" s="2"/>
      <c r="D355" s="2"/>
      <c r="E355" s="2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">
      <c r="A356" s="2"/>
      <c r="B356" s="2"/>
      <c r="C356" s="2"/>
      <c r="D356" s="2"/>
      <c r="E356" s="2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">
      <c r="A357" s="2"/>
      <c r="B357" s="2"/>
      <c r="C357" s="2"/>
      <c r="D357" s="2"/>
      <c r="E357" s="2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">
      <c r="A358" s="2"/>
      <c r="B358" s="2"/>
      <c r="C358" s="2"/>
      <c r="D358" s="2"/>
      <c r="E358" s="2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">
      <c r="A359" s="2"/>
      <c r="B359" s="2"/>
      <c r="C359" s="2"/>
      <c r="D359" s="2"/>
      <c r="E359" s="2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">
      <c r="A360" s="2"/>
      <c r="B360" s="2"/>
      <c r="C360" s="2"/>
      <c r="D360" s="2"/>
      <c r="E360" s="2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">
      <c r="A361" s="2"/>
      <c r="B361" s="2"/>
      <c r="C361" s="2"/>
      <c r="D361" s="2"/>
      <c r="E361" s="2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">
      <c r="A362" s="2"/>
      <c r="B362" s="2"/>
      <c r="C362" s="2"/>
      <c r="D362" s="2"/>
      <c r="E362" s="2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">
      <c r="A363" s="2"/>
      <c r="B363" s="2"/>
      <c r="C363" s="2"/>
      <c r="D363" s="2"/>
      <c r="E363" s="2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">
      <c r="A364" s="2"/>
      <c r="B364" s="2"/>
      <c r="C364" s="2"/>
      <c r="D364" s="2"/>
      <c r="E364" s="2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">
      <c r="A365" s="2"/>
      <c r="B365" s="2"/>
      <c r="C365" s="2"/>
      <c r="D365" s="2"/>
      <c r="E365" s="2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">
      <c r="A366" s="2"/>
      <c r="B366" s="2"/>
      <c r="C366" s="2"/>
      <c r="D366" s="2"/>
      <c r="E366" s="2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">
      <c r="A367" s="2"/>
      <c r="B367" s="2"/>
      <c r="C367" s="2"/>
      <c r="D367" s="2"/>
      <c r="E367" s="2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">
      <c r="A368" s="2"/>
      <c r="B368" s="2"/>
      <c r="C368" s="2"/>
      <c r="D368" s="2"/>
      <c r="E368" s="2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">
      <c r="A369" s="2"/>
      <c r="B369" s="2"/>
      <c r="C369" s="2"/>
      <c r="D369" s="2"/>
      <c r="E369" s="2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">
      <c r="A370" s="2"/>
      <c r="B370" s="2"/>
      <c r="C370" s="2"/>
      <c r="D370" s="2"/>
      <c r="E370" s="2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">
      <c r="A371" s="2"/>
      <c r="B371" s="2"/>
      <c r="C371" s="2"/>
      <c r="D371" s="2"/>
      <c r="E371" s="2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">
      <c r="A372" s="2"/>
      <c r="B372" s="2"/>
      <c r="C372" s="2"/>
      <c r="D372" s="2"/>
      <c r="E372" s="2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">
      <c r="A373" s="2"/>
      <c r="B373" s="2"/>
      <c r="C373" s="2"/>
      <c r="D373" s="2"/>
      <c r="E373" s="2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">
      <c r="A374" s="2"/>
      <c r="B374" s="2"/>
      <c r="C374" s="2"/>
      <c r="D374" s="2"/>
      <c r="E374" s="2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">
      <c r="A375" s="2"/>
      <c r="B375" s="2"/>
      <c r="C375" s="2"/>
      <c r="D375" s="2"/>
      <c r="E375" s="2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">
      <c r="A376" s="2"/>
      <c r="B376" s="2"/>
      <c r="C376" s="2"/>
      <c r="D376" s="2"/>
      <c r="E376" s="2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">
      <c r="A377" s="2"/>
      <c r="B377" s="2"/>
      <c r="C377" s="2"/>
      <c r="D377" s="2"/>
      <c r="E377" s="2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">
      <c r="A378" s="2"/>
      <c r="B378" s="2"/>
      <c r="C378" s="2"/>
      <c r="D378" s="2"/>
      <c r="E378" s="2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">
      <c r="A379" s="2"/>
      <c r="B379" s="2"/>
      <c r="C379" s="2"/>
      <c r="D379" s="2"/>
      <c r="E379" s="2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">
      <c r="A380" s="2"/>
      <c r="B380" s="2"/>
      <c r="C380" s="2"/>
      <c r="D380" s="2"/>
      <c r="E380" s="2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">
      <c r="A381" s="2"/>
      <c r="B381" s="2"/>
      <c r="C381" s="2"/>
      <c r="D381" s="2"/>
      <c r="E381" s="2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">
      <c r="A382" s="2"/>
      <c r="B382" s="2"/>
      <c r="C382" s="2"/>
      <c r="D382" s="2"/>
      <c r="E382" s="2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">
      <c r="A383" s="2"/>
      <c r="B383" s="2"/>
      <c r="C383" s="2"/>
      <c r="D383" s="2"/>
      <c r="E383" s="2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">
      <c r="A384" s="2"/>
      <c r="B384" s="2"/>
      <c r="C384" s="2"/>
      <c r="D384" s="2"/>
      <c r="E384" s="2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">
      <c r="A385" s="2"/>
      <c r="B385" s="2"/>
      <c r="C385" s="2"/>
      <c r="D385" s="2"/>
      <c r="E385" s="2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">
      <c r="A386" s="2"/>
      <c r="B386" s="2"/>
      <c r="C386" s="2"/>
      <c r="D386" s="2"/>
      <c r="E386" s="2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">
      <c r="A387" s="2"/>
      <c r="B387" s="2"/>
      <c r="C387" s="2"/>
      <c r="D387" s="2"/>
      <c r="E387" s="2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">
      <c r="A388" s="2"/>
      <c r="B388" s="2"/>
      <c r="C388" s="2"/>
      <c r="D388" s="2"/>
      <c r="E388" s="2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">
      <c r="A389" s="2"/>
      <c r="B389" s="2"/>
      <c r="C389" s="2"/>
      <c r="D389" s="2"/>
      <c r="E389" s="2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">
      <c r="A390" s="2"/>
      <c r="B390" s="2"/>
      <c r="C390" s="2"/>
      <c r="D390" s="2"/>
      <c r="E390" s="2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">
      <c r="A391" s="2"/>
      <c r="B391" s="2"/>
      <c r="C391" s="2"/>
      <c r="D391" s="2"/>
      <c r="E391" s="2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">
      <c r="A392" s="2"/>
      <c r="B392" s="2"/>
      <c r="C392" s="2"/>
      <c r="D392" s="2"/>
      <c r="E392" s="2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">
      <c r="A393" s="2"/>
      <c r="B393" s="2"/>
      <c r="C393" s="2"/>
      <c r="D393" s="2"/>
      <c r="E393" s="2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">
      <c r="A394" s="2"/>
      <c r="B394" s="2"/>
      <c r="C394" s="2"/>
      <c r="D394" s="2"/>
      <c r="E394" s="2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">
      <c r="A395" s="2"/>
      <c r="B395" s="2"/>
      <c r="C395" s="2"/>
      <c r="D395" s="2"/>
      <c r="E395" s="2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">
      <c r="A396" s="2"/>
      <c r="B396" s="2"/>
      <c r="C396" s="2"/>
      <c r="D396" s="2"/>
      <c r="E396" s="2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">
      <c r="A397" s="2"/>
      <c r="B397" s="2"/>
      <c r="C397" s="2"/>
      <c r="D397" s="2"/>
      <c r="E397" s="2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">
      <c r="A398" s="2"/>
      <c r="B398" s="2"/>
      <c r="C398" s="2"/>
      <c r="D398" s="2"/>
      <c r="E398" s="2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">
      <c r="A399" s="2"/>
      <c r="B399" s="2"/>
      <c r="C399" s="2"/>
      <c r="D399" s="2"/>
      <c r="E399" s="2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">
      <c r="A400" s="2"/>
      <c r="B400" s="2"/>
      <c r="C400" s="2"/>
      <c r="D400" s="2"/>
      <c r="E400" s="2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">
      <c r="A401" s="2"/>
      <c r="B401" s="2"/>
      <c r="C401" s="2"/>
      <c r="D401" s="2"/>
      <c r="E401" s="2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">
      <c r="A402" s="2"/>
      <c r="B402" s="2"/>
      <c r="C402" s="2"/>
      <c r="D402" s="2"/>
      <c r="E402" s="2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">
      <c r="A403" s="2"/>
      <c r="B403" s="2"/>
      <c r="C403" s="2"/>
      <c r="D403" s="2"/>
      <c r="E403" s="2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">
      <c r="A404" s="2"/>
      <c r="B404" s="2"/>
      <c r="C404" s="2"/>
      <c r="D404" s="2"/>
      <c r="E404" s="2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">
      <c r="A405" s="2"/>
      <c r="B405" s="2"/>
      <c r="C405" s="2"/>
      <c r="D405" s="2"/>
      <c r="E405" s="2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">
      <c r="A406" s="2"/>
      <c r="B406" s="2"/>
      <c r="C406" s="2"/>
      <c r="D406" s="2"/>
      <c r="E406" s="2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">
      <c r="A407" s="2"/>
      <c r="B407" s="2"/>
      <c r="C407" s="2"/>
      <c r="D407" s="2"/>
      <c r="E407" s="2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">
      <c r="A408" s="2"/>
      <c r="B408" s="2"/>
      <c r="C408" s="2"/>
      <c r="D408" s="2"/>
      <c r="E408" s="2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">
      <c r="A409" s="2"/>
      <c r="B409" s="2"/>
      <c r="C409" s="2"/>
      <c r="D409" s="2"/>
      <c r="E409" s="2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">
      <c r="A410" s="2"/>
      <c r="B410" s="2"/>
      <c r="C410" s="2"/>
      <c r="D410" s="2"/>
      <c r="E410" s="2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">
      <c r="A411" s="2"/>
      <c r="B411" s="2"/>
      <c r="C411" s="2"/>
      <c r="D411" s="2"/>
      <c r="E411" s="2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">
      <c r="A412" s="2"/>
      <c r="B412" s="2"/>
      <c r="C412" s="2"/>
      <c r="D412" s="2"/>
      <c r="E412" s="2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">
      <c r="A413" s="2"/>
      <c r="B413" s="2"/>
      <c r="C413" s="2"/>
      <c r="D413" s="2"/>
      <c r="E413" s="2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">
      <c r="A414" s="2"/>
      <c r="B414" s="2"/>
      <c r="C414" s="2"/>
      <c r="D414" s="2"/>
      <c r="E414" s="2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">
      <c r="A415" s="2"/>
      <c r="B415" s="2"/>
      <c r="C415" s="2"/>
      <c r="D415" s="2"/>
      <c r="E415" s="2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">
      <c r="A416" s="2"/>
      <c r="B416" s="2"/>
      <c r="C416" s="2"/>
      <c r="D416" s="2"/>
      <c r="E416" s="2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">
      <c r="A417" s="2"/>
      <c r="B417" s="2"/>
      <c r="C417" s="2"/>
      <c r="D417" s="2"/>
      <c r="E417" s="2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">
      <c r="A418" s="2"/>
      <c r="B418" s="2"/>
      <c r="C418" s="2"/>
      <c r="D418" s="2"/>
      <c r="E418" s="2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">
      <c r="A419" s="2"/>
      <c r="B419" s="2"/>
      <c r="C419" s="2"/>
      <c r="D419" s="2"/>
      <c r="E419" s="2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">
      <c r="A420" s="2"/>
      <c r="B420" s="2"/>
      <c r="C420" s="2"/>
      <c r="D420" s="2"/>
      <c r="E420" s="2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">
      <c r="A421" s="2"/>
      <c r="B421" s="2"/>
      <c r="C421" s="2"/>
      <c r="D421" s="2"/>
      <c r="E421" s="2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">
      <c r="A422" s="2"/>
      <c r="B422" s="2"/>
      <c r="C422" s="2"/>
      <c r="D422" s="2"/>
      <c r="E422" s="2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">
      <c r="A423" s="2"/>
      <c r="B423" s="2"/>
      <c r="C423" s="2"/>
      <c r="D423" s="2"/>
      <c r="E423" s="2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">
      <c r="A424" s="2"/>
      <c r="B424" s="2"/>
      <c r="C424" s="2"/>
      <c r="D424" s="2"/>
      <c r="E424" s="2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">
      <c r="A425" s="2"/>
      <c r="B425" s="2"/>
      <c r="C425" s="2"/>
      <c r="D425" s="2"/>
      <c r="E425" s="2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">
      <c r="A426" s="2"/>
      <c r="B426" s="2"/>
      <c r="C426" s="2"/>
      <c r="D426" s="2"/>
      <c r="E426" s="2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">
      <c r="A427" s="2"/>
      <c r="B427" s="2"/>
      <c r="C427" s="2"/>
      <c r="D427" s="2"/>
      <c r="E427" s="2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">
      <c r="A428" s="2"/>
      <c r="B428" s="2"/>
      <c r="C428" s="2"/>
      <c r="D428" s="2"/>
      <c r="E428" s="2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">
      <c r="A429" s="2"/>
      <c r="B429" s="2"/>
      <c r="C429" s="2"/>
      <c r="D429" s="2"/>
      <c r="E429" s="2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">
      <c r="A430" s="2"/>
      <c r="B430" s="2"/>
      <c r="C430" s="2"/>
      <c r="D430" s="2"/>
      <c r="E430" s="2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">
      <c r="A431" s="2"/>
      <c r="B431" s="2"/>
      <c r="C431" s="2"/>
      <c r="D431" s="2"/>
      <c r="E431" s="2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">
      <c r="A432" s="2"/>
      <c r="B432" s="2"/>
      <c r="C432" s="2"/>
      <c r="D432" s="2"/>
      <c r="E432" s="2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">
      <c r="A433" s="2"/>
      <c r="B433" s="2"/>
      <c r="C433" s="2"/>
      <c r="D433" s="2"/>
      <c r="E433" s="2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">
      <c r="A434" s="2"/>
      <c r="B434" s="2"/>
      <c r="C434" s="2"/>
      <c r="D434" s="2"/>
      <c r="E434" s="2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">
      <c r="A435" s="2"/>
      <c r="B435" s="2"/>
      <c r="C435" s="2"/>
      <c r="D435" s="2"/>
      <c r="E435" s="2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">
      <c r="A436" s="2"/>
      <c r="B436" s="2"/>
      <c r="C436" s="2"/>
      <c r="D436" s="2"/>
      <c r="E436" s="2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">
      <c r="A437" s="2"/>
      <c r="B437" s="2"/>
      <c r="C437" s="2"/>
      <c r="D437" s="2"/>
      <c r="E437" s="2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">
      <c r="A438" s="2"/>
      <c r="B438" s="2"/>
      <c r="C438" s="2"/>
      <c r="D438" s="2"/>
      <c r="E438" s="2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">
      <c r="A439" s="2"/>
      <c r="B439" s="2"/>
      <c r="C439" s="2"/>
      <c r="D439" s="2"/>
      <c r="E439" s="2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">
      <c r="A440" s="2"/>
      <c r="B440" s="2"/>
      <c r="C440" s="2"/>
      <c r="D440" s="2"/>
      <c r="E440" s="2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">
      <c r="A441" s="2"/>
      <c r="B441" s="2"/>
      <c r="C441" s="2"/>
      <c r="D441" s="2"/>
      <c r="E441" s="2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">
      <c r="A442" s="2"/>
      <c r="B442" s="2"/>
      <c r="C442" s="2"/>
      <c r="D442" s="2"/>
      <c r="E442" s="2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">
      <c r="A443" s="2"/>
      <c r="B443" s="2"/>
      <c r="C443" s="2"/>
      <c r="D443" s="2"/>
      <c r="E443" s="2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">
      <c r="A444" s="2"/>
      <c r="B444" s="2"/>
      <c r="C444" s="2"/>
      <c r="D444" s="2"/>
      <c r="E444" s="2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">
      <c r="A445" s="2"/>
      <c r="B445" s="2"/>
      <c r="C445" s="2"/>
      <c r="D445" s="2"/>
      <c r="E445" s="2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">
      <c r="A446" s="2"/>
      <c r="B446" s="2"/>
      <c r="C446" s="2"/>
      <c r="D446" s="2"/>
      <c r="E446" s="2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">
      <c r="A447" s="2"/>
      <c r="B447" s="2"/>
      <c r="C447" s="2"/>
      <c r="D447" s="2"/>
      <c r="E447" s="2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">
      <c r="A448" s="2"/>
      <c r="B448" s="2"/>
      <c r="C448" s="2"/>
      <c r="D448" s="2"/>
      <c r="E448" s="2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">
      <c r="A449" s="2"/>
      <c r="B449" s="2"/>
      <c r="C449" s="2"/>
      <c r="D449" s="2"/>
      <c r="E449" s="2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">
      <c r="A450" s="2"/>
      <c r="B450" s="2"/>
      <c r="C450" s="2"/>
      <c r="D450" s="2"/>
      <c r="E450" s="2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">
      <c r="A451" s="2"/>
      <c r="B451" s="2"/>
      <c r="C451" s="2"/>
      <c r="D451" s="2"/>
      <c r="E451" s="2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">
      <c r="A452" s="2"/>
      <c r="B452" s="2"/>
      <c r="C452" s="2"/>
      <c r="D452" s="2"/>
      <c r="E452" s="2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">
      <c r="A453" s="2"/>
      <c r="B453" s="2"/>
      <c r="C453" s="2"/>
      <c r="D453" s="2"/>
      <c r="E453" s="2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">
      <c r="A454" s="2"/>
      <c r="B454" s="2"/>
      <c r="C454" s="2"/>
      <c r="D454" s="2"/>
      <c r="E454" s="2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">
      <c r="A455" s="2"/>
      <c r="B455" s="2"/>
      <c r="C455" s="2"/>
      <c r="D455" s="2"/>
      <c r="E455" s="2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">
      <c r="A456" s="2"/>
      <c r="B456" s="2"/>
      <c r="C456" s="2"/>
      <c r="D456" s="2"/>
      <c r="E456" s="2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">
      <c r="A457" s="2"/>
      <c r="B457" s="2"/>
      <c r="C457" s="2"/>
      <c r="D457" s="2"/>
      <c r="E457" s="2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">
      <c r="A458" s="2"/>
      <c r="B458" s="2"/>
      <c r="C458" s="2"/>
      <c r="D458" s="2"/>
      <c r="E458" s="2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">
      <c r="A459" s="2"/>
      <c r="B459" s="2"/>
      <c r="C459" s="2"/>
      <c r="D459" s="2"/>
      <c r="E459" s="2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">
      <c r="A460" s="2"/>
      <c r="B460" s="2"/>
      <c r="C460" s="2"/>
      <c r="D460" s="2"/>
      <c r="E460" s="2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">
      <c r="A461" s="2"/>
      <c r="B461" s="2"/>
      <c r="C461" s="2"/>
      <c r="D461" s="2"/>
      <c r="E461" s="2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">
      <c r="A462" s="2"/>
      <c r="B462" s="2"/>
      <c r="C462" s="2"/>
      <c r="D462" s="2"/>
      <c r="E462" s="2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">
      <c r="A463" s="2"/>
      <c r="B463" s="2"/>
      <c r="C463" s="2"/>
      <c r="D463" s="2"/>
      <c r="E463" s="2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">
      <c r="A464" s="2"/>
      <c r="B464" s="2"/>
      <c r="C464" s="2"/>
      <c r="D464" s="2"/>
      <c r="E464" s="2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">
      <c r="A465" s="2"/>
      <c r="B465" s="2"/>
      <c r="C465" s="2"/>
      <c r="D465" s="2"/>
      <c r="E465" s="2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">
      <c r="A466" s="2"/>
      <c r="B466" s="2"/>
      <c r="C466" s="2"/>
      <c r="D466" s="2"/>
      <c r="E466" s="2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">
      <c r="A467" s="2"/>
      <c r="B467" s="2"/>
      <c r="C467" s="2"/>
      <c r="D467" s="2"/>
      <c r="E467" s="2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">
      <c r="A468" s="2"/>
      <c r="B468" s="2"/>
      <c r="C468" s="2"/>
      <c r="D468" s="2"/>
      <c r="E468" s="2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">
      <c r="A469" s="2"/>
      <c r="B469" s="2"/>
      <c r="C469" s="2"/>
      <c r="D469" s="2"/>
      <c r="E469" s="2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">
      <c r="A470" s="2"/>
      <c r="B470" s="2"/>
      <c r="C470" s="2"/>
      <c r="D470" s="2"/>
      <c r="E470" s="2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">
      <c r="A471" s="2"/>
      <c r="B471" s="2"/>
      <c r="C471" s="2"/>
      <c r="D471" s="2"/>
      <c r="E471" s="2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">
      <c r="A472" s="2"/>
      <c r="B472" s="2"/>
      <c r="C472" s="2"/>
      <c r="D472" s="2"/>
      <c r="E472" s="2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">
      <c r="A473" s="2"/>
      <c r="B473" s="2"/>
      <c r="C473" s="2"/>
      <c r="D473" s="2"/>
      <c r="E473" s="2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">
      <c r="A474" s="2"/>
      <c r="B474" s="2"/>
      <c r="C474" s="2"/>
      <c r="D474" s="2"/>
      <c r="E474" s="2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">
      <c r="A475" s="2"/>
      <c r="B475" s="2"/>
      <c r="C475" s="2"/>
      <c r="D475" s="2"/>
      <c r="E475" s="2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">
      <c r="A476" s="2"/>
      <c r="B476" s="2"/>
      <c r="C476" s="2"/>
      <c r="D476" s="2"/>
      <c r="E476" s="2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">
      <c r="A477" s="2"/>
      <c r="B477" s="2"/>
      <c r="C477" s="2"/>
      <c r="D477" s="2"/>
      <c r="E477" s="2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">
      <c r="A478" s="2"/>
      <c r="B478" s="2"/>
      <c r="C478" s="2"/>
      <c r="D478" s="2"/>
      <c r="E478" s="2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">
      <c r="A479" s="2"/>
      <c r="B479" s="2"/>
      <c r="C479" s="2"/>
      <c r="D479" s="2"/>
      <c r="E479" s="2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">
      <c r="A480" s="2"/>
      <c r="B480" s="2"/>
      <c r="C480" s="2"/>
      <c r="D480" s="2"/>
      <c r="E480" s="2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">
      <c r="A481" s="2"/>
      <c r="B481" s="2"/>
      <c r="C481" s="2"/>
      <c r="D481" s="2"/>
      <c r="E481" s="2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">
      <c r="A482" s="2"/>
      <c r="B482" s="2"/>
      <c r="C482" s="2"/>
      <c r="D482" s="2"/>
      <c r="E482" s="2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">
      <c r="A483" s="2"/>
      <c r="B483" s="2"/>
      <c r="C483" s="2"/>
      <c r="D483" s="2"/>
      <c r="E483" s="2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">
      <c r="A484" s="2"/>
      <c r="B484" s="2"/>
      <c r="C484" s="2"/>
      <c r="D484" s="2"/>
      <c r="E484" s="2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">
      <c r="A485" s="2"/>
      <c r="B485" s="2"/>
      <c r="C485" s="2"/>
      <c r="D485" s="2"/>
      <c r="E485" s="2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">
      <c r="A486" s="2"/>
      <c r="B486" s="2"/>
      <c r="C486" s="2"/>
      <c r="D486" s="2"/>
      <c r="E486" s="2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">
      <c r="A487" s="2"/>
      <c r="B487" s="2"/>
      <c r="C487" s="2"/>
      <c r="D487" s="2"/>
      <c r="E487" s="2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">
      <c r="A488" s="2"/>
      <c r="B488" s="2"/>
      <c r="C488" s="2"/>
      <c r="D488" s="2"/>
      <c r="E488" s="2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">
      <c r="A489" s="2"/>
      <c r="B489" s="2"/>
      <c r="C489" s="2"/>
      <c r="D489" s="2"/>
      <c r="E489" s="2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">
      <c r="A490" s="2"/>
      <c r="B490" s="2"/>
      <c r="C490" s="2"/>
      <c r="D490" s="2"/>
      <c r="E490" s="2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">
      <c r="A491" s="2"/>
      <c r="B491" s="2"/>
      <c r="C491" s="2"/>
      <c r="D491" s="2"/>
      <c r="E491" s="2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">
      <c r="A492" s="2"/>
      <c r="B492" s="2"/>
      <c r="C492" s="2"/>
      <c r="D492" s="2"/>
      <c r="E492" s="2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">
      <c r="A493" s="2"/>
      <c r="B493" s="2"/>
      <c r="C493" s="2"/>
      <c r="D493" s="2"/>
      <c r="E493" s="2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">
      <c r="A494" s="2"/>
      <c r="B494" s="2"/>
      <c r="C494" s="2"/>
      <c r="D494" s="2"/>
      <c r="E494" s="2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">
      <c r="A495" s="2"/>
      <c r="B495" s="2"/>
      <c r="C495" s="2"/>
      <c r="D495" s="2"/>
      <c r="E495" s="2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">
      <c r="A496" s="2"/>
      <c r="B496" s="2"/>
      <c r="C496" s="2"/>
      <c r="D496" s="2"/>
      <c r="E496" s="2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">
      <c r="A497" s="2"/>
      <c r="B497" s="2"/>
      <c r="C497" s="2"/>
      <c r="D497" s="2"/>
      <c r="E497" s="2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">
      <c r="A498" s="2"/>
      <c r="B498" s="2"/>
      <c r="C498" s="2"/>
      <c r="D498" s="2"/>
      <c r="E498" s="2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">
      <c r="A499" s="2"/>
      <c r="B499" s="2"/>
      <c r="C499" s="2"/>
      <c r="D499" s="2"/>
      <c r="E499" s="2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">
      <c r="A500" s="2"/>
      <c r="B500" s="2"/>
      <c r="C500" s="2"/>
      <c r="D500" s="2"/>
      <c r="E500" s="2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conditionalFormatting sqref="F2:F500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500">
    <cfRule type="expression" dxfId="3" priority="1">
      <formula>G2="Pendiente"</formula>
    </cfRule>
    <cfRule type="expression" dxfId="2" priority="2">
      <formula>G2="Corregido"</formula>
    </cfRule>
    <cfRule type="expression" dxfId="1" priority="4">
      <formula>G2="Pending"</formula>
    </cfRule>
    <cfRule type="expression" dxfId="0" priority="5">
      <formula>G2="Corrected"</formula>
    </cfRule>
  </conditionalFormatting>
  <dataValidations count="1">
    <dataValidation type="list" sqref="G2:G500" xr:uid="{00000000-0002-0000-0500-000000000000}">
      <formula1>"Pending,Corrected,Ignored"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Products</vt:lpstr>
      <vt:lpstr>Price_History</vt:lpstr>
      <vt:lpstr>Receipts</vt:lpstr>
      <vt:lpstr>Product_Aliases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Susana Ye Zhan</cp:lastModifiedBy>
  <dcterms:modified xsi:type="dcterms:W3CDTF">2026-09-21T15:31:36Z</dcterms:modified>
</cp:coreProperties>
</file>